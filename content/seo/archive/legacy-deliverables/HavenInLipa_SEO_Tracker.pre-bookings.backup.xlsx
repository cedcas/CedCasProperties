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34560" windowHeight="20100" tabRatio="600" firstSheet="0" activeTab="1" autoFilterDateGrouping="1"/>
  </bookViews>
  <sheets>
    <sheet xmlns:r="http://schemas.openxmlformats.org/officeDocument/2006/relationships" name="README" sheetId="1" state="visible" r:id="rId1"/>
    <sheet xmlns:r="http://schemas.openxmlformats.org/officeDocument/2006/relationships" name="KPI Dashboard" sheetId="2" state="visible" r:id="rId2"/>
    <sheet xmlns:r="http://schemas.openxmlformats.org/officeDocument/2006/relationships" name="Cluster KPIs" sheetId="3" state="visible" r:id="rId3"/>
    <sheet xmlns:r="http://schemas.openxmlformats.org/officeDocument/2006/relationships" name="Keyword Master" sheetId="4" state="visible" r:id="rId4"/>
    <sheet xmlns:r="http://schemas.openxmlformats.org/officeDocument/2006/relationships" name="To Do with Keywords" sheetId="5" state="visible" r:id="rId5"/>
    <sheet xmlns:r="http://schemas.openxmlformats.org/officeDocument/2006/relationships" name="Priority Focus (60-Day)" sheetId="6" state="visible" r:id="rId6"/>
    <sheet xmlns:r="http://schemas.openxmlformats.org/officeDocument/2006/relationships" name="Page Indexing Tracker" sheetId="7" state="visible" r:id="rId7"/>
    <sheet xmlns:r="http://schemas.openxmlformats.org/officeDocument/2006/relationships" name="GSC Setup Steps" sheetId="8" state="visible" r:id="rId8"/>
    <sheet xmlns:r="http://schemas.openxmlformats.org/officeDocument/2006/relationships" name="GSC Troubleshooting" sheetId="9" state="visible" r:id="rId9"/>
    <sheet xmlns:r="http://schemas.openxmlformats.org/officeDocument/2006/relationships" name="Blogger Brief" sheetId="10" state="visible" r:id="rId10"/>
    <sheet xmlns:r="http://schemas.openxmlformats.org/officeDocument/2006/relationships" name="Tracking Log Template" sheetId="11" state="visible" r:id="rId11"/>
    <sheet xmlns:r="http://schemas.openxmlformats.org/officeDocument/2006/relationships" name="Lists" sheetId="12" state="visible" r:id="rId12"/>
  </sheets>
  <definedNames>
    <definedName name="_xlnm._FilterDatabase" localSheetId="3" hidden="1">'Keyword Master'!$A$1:$Q$83</definedName>
  </definedNames>
  <calcPr calcId="191029" fullCalcOnLoad="1"/>
</workbook>
</file>

<file path=xl/styles.xml><?xml version="1.0" encoding="utf-8"?>
<styleSheet xmlns="http://schemas.openxmlformats.org/spreadsheetml/2006/main">
  <numFmts count="4">
    <numFmt numFmtId="164" formatCode="0.0%"/>
    <numFmt numFmtId="165" formatCode="\+0.0%;\-0.0%"/>
    <numFmt numFmtId="166" formatCode="0.0"/>
    <numFmt numFmtId="167" formatCode="+0.0%;-0.0%"/>
  </numFmts>
  <fonts count="43">
    <font>
      <name val="Calibri"/>
      <family val="2"/>
      <color theme="1"/>
      <sz val="11"/>
      <scheme val="minor"/>
    </font>
    <font>
      <name val="Calibri"/>
      <family val="2"/>
      <b val="1"/>
      <color rgb="FFFF5371"/>
      <sz val="20"/>
    </font>
    <font>
      <name val="Calibri"/>
      <family val="2"/>
      <b val="1"/>
      <i val="1"/>
      <color rgb="FF3B5323"/>
      <sz val="11"/>
    </font>
    <font>
      <name val="Calibri"/>
      <family val="2"/>
      <b val="1"/>
      <i val="1"/>
      <color rgb="FF2C2C2C"/>
      <sz val="11"/>
    </font>
    <font>
      <name val="Calibri"/>
      <family val="2"/>
      <b val="1"/>
      <i val="1"/>
      <color rgb="FFFF5371"/>
      <sz val="11"/>
    </font>
    <font>
      <name val="Calibri"/>
      <family val="2"/>
      <sz val="10"/>
    </font>
    <font>
      <name val="Calibri"/>
      <family val="2"/>
      <b val="1"/>
      <color rgb="FFFFFFFF"/>
      <sz val="11"/>
    </font>
    <font>
      <name val="Calibri"/>
      <family val="2"/>
      <color rgb="FF2C2C2C"/>
      <sz val="10"/>
    </font>
    <font>
      <name val="Calibri"/>
      <family val="2"/>
      <b val="1"/>
      <color rgb="FFFFFFFF"/>
      <sz val="10"/>
    </font>
    <font>
      <name val="Calibri"/>
      <family val="2"/>
      <b val="1"/>
      <color rgb="FFFF5371"/>
      <sz val="16"/>
    </font>
    <font>
      <name val="Calibri"/>
      <family val="2"/>
      <b val="1"/>
      <color rgb="FFFF5371"/>
      <sz val="16"/>
    </font>
    <font>
      <name val="Calibri"/>
      <family val="2"/>
      <b val="1"/>
      <i val="1"/>
      <color rgb="FF3B5323"/>
      <sz val="11"/>
    </font>
    <font>
      <name val="Calibri"/>
      <family val="2"/>
      <b val="1"/>
      <i val="1"/>
      <color rgb="FFFF5371"/>
      <sz val="11"/>
    </font>
    <font>
      <name val="Calibri"/>
      <family val="2"/>
      <sz val="10"/>
    </font>
    <font>
      <name val="Arial"/>
      <family val="2"/>
      <b val="1"/>
      <color theme="1"/>
      <sz val="12"/>
    </font>
    <font>
      <name val="Arial"/>
      <family val="2"/>
      <color theme="1"/>
      <sz val="12"/>
    </font>
    <font>
      <name val="Calibri"/>
      <family val="2"/>
      <b val="1"/>
      <color rgb="FFFFFFFF"/>
      <sz val="11"/>
    </font>
    <font>
      <name val="Calibri"/>
      <family val="2"/>
      <color rgb="FF2C2C2C"/>
      <sz val="10"/>
    </font>
    <font>
      <name val="Calibri"/>
      <family val="2"/>
      <b val="1"/>
      <color rgb="FFFFFFFF"/>
      <sz val="10"/>
    </font>
    <font>
      <name val="Arial"/>
      <family val="2"/>
      <color theme="1"/>
      <sz val="13"/>
    </font>
    <font>
      <name val="Arial"/>
      <family val="2"/>
      <b val="1"/>
      <color theme="1"/>
      <sz val="13"/>
    </font>
    <font>
      <name val="Arial"/>
      <family val="2"/>
      <b val="1"/>
      <color theme="1"/>
      <sz val="18"/>
    </font>
    <font>
      <name val="Calibri"/>
      <family val="2"/>
      <color theme="1"/>
      <sz val="11"/>
      <scheme val="minor"/>
    </font>
    <font>
      <name val="Calibri"/>
      <family val="2"/>
      <color theme="10"/>
      <sz val="11"/>
      <u val="single"/>
      <scheme val="minor"/>
    </font>
    <font>
      <name val="Calibri"/>
      <family val="2"/>
      <b val="1"/>
      <color rgb="FFFF5371"/>
      <sz val="16"/>
    </font>
    <font>
      <name val="Calibri"/>
      <family val="2"/>
      <b val="1"/>
      <i val="1"/>
      <color rgb="FF3B5323"/>
      <sz val="11"/>
    </font>
    <font>
      <name val="Calibri"/>
      <family val="2"/>
      <b val="1"/>
      <color rgb="FFFFFFFF"/>
      <sz val="11"/>
    </font>
    <font>
      <name val="Calibri"/>
      <family val="2"/>
      <b val="1"/>
      <color rgb="FFFFFFFF"/>
      <sz val="10"/>
    </font>
    <font>
      <name val="Calibri"/>
      <family val="2"/>
      <b val="1"/>
      <color rgb="FF2C2C2C"/>
      <sz val="10"/>
    </font>
    <font>
      <name val="Calibri"/>
      <family val="2"/>
      <color rgb="FF666666"/>
      <sz val="10"/>
    </font>
    <font>
      <name val="Calibri"/>
      <family val="2"/>
      <color rgb="FF2C2C2C"/>
      <sz val="10"/>
    </font>
    <font>
      <name val="Calibri"/>
      <family val="2"/>
      <b val="1"/>
      <color rgb="FF2C2C2C"/>
      <sz val="10"/>
    </font>
    <font>
      <name val="Calibri"/>
      <family val="2"/>
      <color rgb="FF2C2C2C"/>
      <sz val="10"/>
    </font>
    <font>
      <name val="Calibri"/>
      <family val="2"/>
      <b val="1"/>
      <color theme="1"/>
      <sz val="10"/>
    </font>
    <font>
      <name val="Calibri"/>
      <family val="2"/>
      <b val="1"/>
      <color rgb="FFFFFFFF"/>
      <sz val="10"/>
    </font>
    <font>
      <name val="Calibri"/>
      <family val="2"/>
      <b val="1"/>
      <color rgb="FF2C2C2C"/>
      <sz val="10"/>
    </font>
    <font>
      <name val="Calibri"/>
      <family val="2"/>
      <color rgb="FF2C2C2C"/>
      <sz val="10"/>
    </font>
    <font>
      <name val="Calibri"/>
      <family val="2"/>
      <i val="1"/>
      <color rgb="FF888888"/>
      <sz val="9"/>
    </font>
    <font>
      <name val="Calibri"/>
      <color rgb="002C2C2C"/>
      <sz val="10"/>
    </font>
    <font>
      <name val="Calibri"/>
      <b val="1"/>
      <color rgb="00FFFFFF"/>
      <sz val="10"/>
    </font>
    <font>
      <name val="Calibri"/>
      <b val="1"/>
      <color rgb="002C2C2C"/>
      <sz val="10"/>
    </font>
    <font>
      <name val="Calibri"/>
      <i val="1"/>
      <color rgb="00888888"/>
      <sz val="9"/>
    </font>
    <font>
      <name val="Calibri"/>
      <b val="1"/>
      <color rgb="00FF5371"/>
      <sz val="11"/>
    </font>
  </fonts>
  <fills count="25">
    <fill>
      <patternFill/>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3B5323"/>
      </patternFill>
    </fill>
    <fill>
      <patternFill patternType="solid">
        <fgColor rgb="FFE8EFE0"/>
      </patternFill>
    </fill>
    <fill>
      <patternFill patternType="solid">
        <fgColor rgb="FFFFFFFF"/>
      </patternFill>
    </fill>
    <fill>
      <patternFill patternType="solid">
        <fgColor rgb="003B5323"/>
      </patternFill>
    </fill>
    <fill>
      <patternFill patternType="solid">
        <fgColor rgb="00E8EFE0"/>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3">
    <xf numFmtId="0" fontId="22" fillId="0" borderId="0"/>
    <xf numFmtId="43" fontId="22" fillId="0" borderId="0"/>
    <xf numFmtId="0" fontId="23" fillId="0" borderId="0"/>
  </cellStyleXfs>
  <cellXfs count="13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left" vertical="center" wrapText="1"/>
    </xf>
    <xf numFmtId="0" fontId="8" fillId="6" borderId="1" applyAlignment="1" pivotButton="0" quotePrefix="0" xfId="0">
      <alignment horizontal="center" vertical="center"/>
    </xf>
    <xf numFmtId="0" fontId="6" fillId="8" borderId="1" applyAlignment="1" pivotButton="0" quotePrefix="0" xfId="0">
      <alignment horizontal="center" vertical="center" wrapText="1"/>
    </xf>
    <xf numFmtId="0" fontId="7" fillId="9" borderId="1" applyAlignment="1" pivotButton="0" quotePrefix="0" xfId="0">
      <alignment horizontal="left" vertical="center" wrapText="1"/>
    </xf>
    <xf numFmtId="0" fontId="9" fillId="0" borderId="0" applyAlignment="1" pivotButton="0" quotePrefix="0" xfId="0">
      <alignment horizontal="left" vertical="center"/>
    </xf>
    <xf numFmtId="0" fontId="5" fillId="0" borderId="0" applyAlignment="1" pivotButton="0" quotePrefix="0" xfId="0">
      <alignment vertical="top" wrapText="1" indent="1"/>
    </xf>
    <xf numFmtId="14" fontId="7" fillId="3" borderId="1" applyAlignment="1" pivotButton="0" quotePrefix="0" xfId="0">
      <alignment horizontal="left" vertical="center" wrapText="1"/>
    </xf>
    <xf numFmtId="14" fontId="7" fillId="5" borderId="1" applyAlignment="1" pivotButton="0" quotePrefix="0" xfId="0">
      <alignment horizontal="left" vertical="center" wrapText="1"/>
    </xf>
    <xf numFmtId="0" fontId="10" fillId="0" borderId="0" applyAlignment="1" pivotButton="0" quotePrefix="0" xfId="0">
      <alignment horizontal="left" vertical="center"/>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13" fillId="0" borderId="0" applyAlignment="1" pivotButton="0" quotePrefix="0" xfId="0">
      <alignment vertical="top" wrapText="1" indent="1"/>
    </xf>
    <xf numFmtId="0" fontId="14" fillId="0" borderId="0" pivotButton="0" quotePrefix="0" xfId="0"/>
    <xf numFmtId="0" fontId="15" fillId="0" borderId="0" pivotButton="0" quotePrefix="0" xfId="0"/>
    <xf numFmtId="0" fontId="16" fillId="10" borderId="2" applyAlignment="1" pivotButton="0" quotePrefix="0" xfId="0">
      <alignment horizontal="center" vertical="center" wrapText="1"/>
    </xf>
    <xf numFmtId="0" fontId="17" fillId="11" borderId="2" applyAlignment="1" pivotButton="0" quotePrefix="0" xfId="0">
      <alignment horizontal="left" vertical="center" wrapText="1"/>
    </xf>
    <xf numFmtId="0" fontId="18" fillId="12" borderId="2" applyAlignment="1" pivotButton="0" quotePrefix="0" xfId="0">
      <alignment horizontal="center" vertical="center" wrapText="1"/>
    </xf>
    <xf numFmtId="0" fontId="17" fillId="13" borderId="2" applyAlignment="1" pivotButton="0" quotePrefix="0" xfId="0">
      <alignment horizontal="left" vertical="center" wrapText="1"/>
    </xf>
    <xf numFmtId="0" fontId="18" fillId="14" borderId="2" applyAlignment="1" pivotButton="0" quotePrefix="0" xfId="0">
      <alignment horizontal="center" vertical="center" wrapText="1"/>
    </xf>
    <xf numFmtId="0" fontId="19" fillId="0" borderId="0" pivotButton="0" quotePrefix="0" xfId="0"/>
    <xf numFmtId="0" fontId="21" fillId="0" borderId="0" pivotButton="0" quotePrefix="0" xfId="0"/>
    <xf numFmtId="0" fontId="20" fillId="0" borderId="0" pivotButton="0" quotePrefix="0" xfId="0"/>
    <xf numFmtId="16" fontId="20" fillId="0" borderId="0" pivotButton="0" quotePrefix="0" xfId="0"/>
    <xf numFmtId="0" fontId="17" fillId="3" borderId="2" applyAlignment="1" pivotButton="0" quotePrefix="0" xfId="0">
      <alignment horizontal="left" vertical="center" wrapText="1"/>
    </xf>
    <xf numFmtId="0" fontId="18" fillId="14" borderId="2" applyAlignment="1" pivotButton="0" quotePrefix="0" xfId="0">
      <alignment horizontal="center" vertical="center"/>
    </xf>
    <xf numFmtId="0" fontId="7" fillId="3" borderId="2" applyAlignment="1" pivotButton="0" quotePrefix="0" xfId="0">
      <alignment horizontal="left" vertical="center" wrapText="1"/>
    </xf>
    <xf numFmtId="0" fontId="7" fillId="5" borderId="2" applyAlignment="1" pivotButton="0" quotePrefix="0" xfId="0">
      <alignment horizontal="left" vertical="center" wrapText="1"/>
    </xf>
    <xf numFmtId="0" fontId="17" fillId="3" borderId="1" applyAlignment="1" pivotButton="0" quotePrefix="0" xfId="0">
      <alignment horizontal="left" vertical="center" wrapText="1"/>
    </xf>
    <xf numFmtId="0" fontId="18" fillId="14" borderId="1" applyAlignment="1" pivotButton="0" quotePrefix="0" xfId="0">
      <alignment horizontal="center" vertical="center"/>
    </xf>
    <xf numFmtId="0" fontId="8" fillId="6" borderId="2" applyAlignment="1" pivotButton="0" quotePrefix="0" xfId="0">
      <alignment horizontal="center" vertical="center"/>
    </xf>
    <xf numFmtId="0" fontId="8" fillId="4" borderId="2" applyAlignment="1" pivotButton="0" quotePrefix="0" xfId="0">
      <alignment horizontal="center" vertical="center"/>
    </xf>
    <xf numFmtId="0" fontId="8" fillId="7" borderId="2" applyAlignment="1" pivotButton="0" quotePrefix="0" xfId="0">
      <alignment horizontal="center" vertical="center"/>
    </xf>
    <xf numFmtId="43" fontId="6" fillId="2" borderId="2" applyAlignment="1" pivotButton="0" quotePrefix="0" xfId="1">
      <alignment horizontal="center" vertical="center" wrapText="1"/>
    </xf>
    <xf numFmtId="43" fontId="7" fillId="3" borderId="2" applyAlignment="1" pivotButton="0" quotePrefix="0" xfId="1">
      <alignment horizontal="left" vertical="center" wrapText="1"/>
    </xf>
    <xf numFmtId="43" fontId="0" fillId="0" borderId="0" pivotButton="0" quotePrefix="0" xfId="1"/>
    <xf numFmtId="0" fontId="7" fillId="3" borderId="2" applyAlignment="1" pivotButton="0" quotePrefix="0" xfId="1">
      <alignment horizontal="left" vertical="center" wrapText="1"/>
    </xf>
    <xf numFmtId="0" fontId="6" fillId="2" borderId="2" applyAlignment="1" pivotButton="0" quotePrefix="0" xfId="0">
      <alignment horizontal="center" vertical="center" wrapText="1"/>
    </xf>
    <xf numFmtId="0" fontId="23" fillId="13" borderId="2" applyAlignment="1" pivotButton="0" quotePrefix="0" xfId="2">
      <alignment horizontal="left" vertical="center" wrapText="1"/>
    </xf>
    <xf numFmtId="0" fontId="23" fillId="11" borderId="2" applyAlignment="1" pivotButton="0" quotePrefix="0" xfId="2">
      <alignment horizontal="left" vertical="center" wrapText="1"/>
    </xf>
    <xf numFmtId="0" fontId="23" fillId="0" borderId="0" pivotButton="0" quotePrefix="0" xfId="2"/>
    <xf numFmtId="0" fontId="25" fillId="0" borderId="0" applyAlignment="1" pivotButton="0" quotePrefix="0" xfId="0">
      <alignment horizontal="left" vertical="center"/>
    </xf>
    <xf numFmtId="0" fontId="30" fillId="0" borderId="0" applyAlignment="1" pivotButton="0" quotePrefix="0" xfId="0">
      <alignment horizontal="left" vertical="top" wrapText="1"/>
    </xf>
    <xf numFmtId="0" fontId="24" fillId="0" borderId="0" applyAlignment="1" pivotButton="0" quotePrefix="0" xfId="0">
      <alignment horizontal="left" vertical="center"/>
    </xf>
    <xf numFmtId="0" fontId="26" fillId="15" borderId="3" applyAlignment="1" pivotButton="0" quotePrefix="0" xfId="0">
      <alignment horizontal="center" vertical="center" wrapText="1"/>
    </xf>
    <xf numFmtId="0" fontId="27" fillId="15" borderId="3" applyAlignment="1" pivotButton="0" quotePrefix="0" xfId="0">
      <alignment horizontal="left" vertical="center" wrapText="1"/>
    </xf>
    <xf numFmtId="0" fontId="28" fillId="16" borderId="3" applyAlignment="1" pivotButton="0" quotePrefix="0" xfId="0">
      <alignment horizontal="left" vertical="center" wrapText="1"/>
    </xf>
    <xf numFmtId="0" fontId="29" fillId="16" borderId="3" applyAlignment="1" pivotButton="0" quotePrefix="0" xfId="0">
      <alignment horizontal="left" vertical="center" wrapText="1"/>
    </xf>
    <xf numFmtId="1" fontId="30" fillId="16" borderId="3" applyAlignment="1" pivotButton="0" quotePrefix="0" xfId="0">
      <alignment horizontal="center" vertical="center" wrapText="1"/>
    </xf>
    <xf numFmtId="0" fontId="28" fillId="17" borderId="3" applyAlignment="1" pivotButton="0" quotePrefix="0" xfId="0">
      <alignment horizontal="left" vertical="center" wrapText="1"/>
    </xf>
    <xf numFmtId="0" fontId="29" fillId="17" borderId="3" applyAlignment="1" pivotButton="0" quotePrefix="0" xfId="0">
      <alignment horizontal="left" vertical="center" wrapText="1"/>
    </xf>
    <xf numFmtId="1" fontId="30" fillId="17" borderId="3" applyAlignment="1" pivotButton="0" quotePrefix="0" xfId="0">
      <alignment horizontal="center" vertical="center" wrapText="1"/>
    </xf>
    <xf numFmtId="3" fontId="30" fillId="17" borderId="3" applyAlignment="1" pivotButton="0" quotePrefix="0" xfId="0">
      <alignment horizontal="center" vertical="center" wrapText="1"/>
    </xf>
    <xf numFmtId="3" fontId="30" fillId="16" borderId="3" applyAlignment="1" pivotButton="0" quotePrefix="0" xfId="0">
      <alignment horizontal="center" vertical="center" wrapText="1"/>
    </xf>
    <xf numFmtId="164" fontId="30" fillId="16" borderId="3" applyAlignment="1" pivotButton="0" quotePrefix="0" xfId="0">
      <alignment horizontal="center" vertical="center" wrapText="1"/>
    </xf>
    <xf numFmtId="165" fontId="30" fillId="16" borderId="3" applyAlignment="1" pivotButton="0" quotePrefix="0" xfId="0">
      <alignment horizontal="center" vertical="center" wrapText="1"/>
    </xf>
    <xf numFmtId="166" fontId="30" fillId="17" borderId="3" applyAlignment="1" pivotButton="0" quotePrefix="0" xfId="0">
      <alignment horizontal="center" vertical="center" wrapText="1"/>
    </xf>
    <xf numFmtId="0" fontId="30" fillId="16" borderId="3" applyAlignment="1" pivotButton="0" quotePrefix="0" xfId="0">
      <alignment horizontal="center" vertical="center" wrapText="1"/>
    </xf>
    <xf numFmtId="166" fontId="30" fillId="16" borderId="3" applyAlignment="1" pivotButton="0" quotePrefix="0" xfId="0">
      <alignment horizontal="center" vertical="center" wrapText="1"/>
    </xf>
    <xf numFmtId="0" fontId="28" fillId="18" borderId="3" applyAlignment="1" pivotButton="0" quotePrefix="0" xfId="0">
      <alignment horizontal="left" vertical="center" wrapText="1"/>
    </xf>
    <xf numFmtId="3" fontId="30" fillId="18" borderId="3" applyAlignment="1" pivotButton="0" quotePrefix="0" xfId="0">
      <alignment horizontal="center" vertical="center" wrapText="1"/>
    </xf>
    <xf numFmtId="166" fontId="30" fillId="18" borderId="3" applyAlignment="1" pivotButton="0" quotePrefix="0" xfId="0">
      <alignment horizontal="center" vertical="center" wrapText="1"/>
    </xf>
    <xf numFmtId="0" fontId="30" fillId="18" borderId="3" applyAlignment="1" pivotButton="0" quotePrefix="0" xfId="0">
      <alignment horizontal="center" vertical="center" wrapText="1"/>
    </xf>
    <xf numFmtId="3" fontId="27" fillId="15" borderId="3" applyAlignment="1" pivotButton="0" quotePrefix="0" xfId="0">
      <alignment horizontal="center" vertical="center" wrapText="1"/>
    </xf>
    <xf numFmtId="166" fontId="27" fillId="15" borderId="3" applyAlignment="1" pivotButton="0" quotePrefix="0" xfId="0">
      <alignment horizontal="center" vertical="center" wrapText="1"/>
    </xf>
    <xf numFmtId="1" fontId="27" fillId="15" borderId="3" applyAlignment="1" pivotButton="0" quotePrefix="0" xfId="0">
      <alignment horizontal="center" vertical="center" wrapText="1"/>
    </xf>
    <xf numFmtId="0" fontId="20" fillId="0" borderId="4" pivotButton="0" quotePrefix="0" xfId="0"/>
    <xf numFmtId="0" fontId="19" fillId="0" borderId="4" applyAlignment="1" pivotButton="0" quotePrefix="0" xfId="0">
      <alignment wrapText="1"/>
    </xf>
    <xf numFmtId="0" fontId="26" fillId="2" borderId="3" applyAlignment="1" pivotButton="0" quotePrefix="0" xfId="0">
      <alignment horizontal="center" vertical="center" wrapText="1"/>
    </xf>
    <xf numFmtId="0" fontId="31" fillId="16" borderId="3" applyAlignment="1" pivotButton="0" quotePrefix="0" xfId="0">
      <alignment horizontal="center" vertical="center" wrapText="1"/>
    </xf>
    <xf numFmtId="0" fontId="32" fillId="17" borderId="3" applyAlignment="1" pivotButton="0" quotePrefix="0" xfId="0">
      <alignment horizontal="center" vertical="center" wrapText="1"/>
    </xf>
    <xf numFmtId="0" fontId="32" fillId="16" borderId="3" applyAlignment="1" pivotButton="0" quotePrefix="0" xfId="0">
      <alignment horizontal="center" vertical="center" wrapText="1"/>
    </xf>
    <xf numFmtId="0" fontId="31" fillId="17" borderId="3" applyAlignment="1" pivotButton="0" quotePrefix="0" xfId="0">
      <alignment horizontal="center" vertical="center" wrapText="1"/>
    </xf>
    <xf numFmtId="0" fontId="7" fillId="16" borderId="3" applyAlignment="1" pivotButton="0" quotePrefix="0" xfId="0">
      <alignment horizontal="center" vertical="center" wrapText="1"/>
    </xf>
    <xf numFmtId="0" fontId="27" fillId="12" borderId="3" applyAlignment="1" pivotButton="0" quotePrefix="0" xfId="0">
      <alignment horizontal="center" vertical="center" wrapText="1"/>
    </xf>
    <xf numFmtId="0" fontId="32" fillId="16" borderId="3" applyAlignment="1" pivotButton="0" quotePrefix="0" xfId="0">
      <alignment horizontal="left" vertical="center" wrapText="1"/>
    </xf>
    <xf numFmtId="0" fontId="32" fillId="18" borderId="3" applyAlignment="1" pivotButton="0" quotePrefix="0" xfId="0">
      <alignment horizontal="left" vertical="center" wrapText="1"/>
    </xf>
    <xf numFmtId="0" fontId="33" fillId="19" borderId="2" applyAlignment="1" pivotButton="0" quotePrefix="0" xfId="0">
      <alignment horizontal="center" vertical="center" wrapText="1"/>
    </xf>
    <xf numFmtId="10" fontId="7" fillId="5" borderId="1" applyAlignment="1" pivotButton="0" quotePrefix="0" xfId="0">
      <alignment horizontal="left" vertical="center" wrapText="1"/>
    </xf>
    <xf numFmtId="10" fontId="29" fillId="16" borderId="3" applyAlignment="1" pivotButton="0" quotePrefix="0" xfId="0">
      <alignment horizontal="left" vertical="center" wrapText="1"/>
    </xf>
    <xf numFmtId="0" fontId="6" fillId="15" borderId="3" applyAlignment="1" pivotButton="0" quotePrefix="0" xfId="0">
      <alignment horizontal="center" vertical="center" wrapText="1"/>
    </xf>
    <xf numFmtId="0" fontId="34" fillId="20" borderId="5" applyAlignment="1" pivotButton="0" quotePrefix="0" xfId="0">
      <alignment horizontal="left" vertical="center" wrapText="1"/>
    </xf>
    <xf numFmtId="0" fontId="35" fillId="21" borderId="5" applyAlignment="1" pivotButton="0" quotePrefix="0" xfId="0">
      <alignment horizontal="center" vertical="center" wrapText="1"/>
    </xf>
    <xf numFmtId="0" fontId="36" fillId="21" borderId="5" applyAlignment="1" pivotButton="0" quotePrefix="0" xfId="0">
      <alignment horizontal="left" vertical="center" wrapText="1"/>
    </xf>
    <xf numFmtId="0" fontId="35" fillId="22" borderId="5" applyAlignment="1" pivotButton="0" quotePrefix="0" xfId="0">
      <alignment horizontal="center" vertical="center" wrapText="1"/>
    </xf>
    <xf numFmtId="0" fontId="36" fillId="22" borderId="5" applyAlignment="1" pivotButton="0" quotePrefix="0" xfId="0">
      <alignment horizontal="left" vertical="center" wrapText="1"/>
    </xf>
    <xf numFmtId="0" fontId="31" fillId="16" borderId="3" applyAlignment="1" pivotButton="0" quotePrefix="0" xfId="0">
      <alignment horizontal="left" vertical="center" wrapText="1"/>
    </xf>
    <xf numFmtId="3" fontId="29" fillId="16" borderId="3" applyAlignment="1" pivotButton="0" quotePrefix="0" xfId="0">
      <alignment horizontal="left" vertical="center" wrapText="1"/>
    </xf>
    <xf numFmtId="3" fontId="32" fillId="16" borderId="3" applyAlignment="1" pivotButton="0" quotePrefix="0" xfId="0">
      <alignment horizontal="center" vertical="center" wrapText="1"/>
    </xf>
    <xf numFmtId="0" fontId="31" fillId="17" borderId="3" applyAlignment="1" pivotButton="0" quotePrefix="0" xfId="0">
      <alignment horizontal="left" vertical="center" wrapText="1"/>
    </xf>
    <xf numFmtId="164" fontId="29" fillId="17" borderId="3" applyAlignment="1" pivotButton="0" quotePrefix="0" xfId="0">
      <alignment horizontal="left" vertical="center" wrapText="1"/>
    </xf>
    <xf numFmtId="164" fontId="32" fillId="17" borderId="3" applyAlignment="1" pivotButton="0" quotePrefix="0" xfId="0">
      <alignment horizontal="center" vertical="center" wrapText="1"/>
    </xf>
    <xf numFmtId="165" fontId="32" fillId="17" borderId="3" applyAlignment="1" pivotButton="0" quotePrefix="0" xfId="0">
      <alignment horizontal="center" vertical="center" wrapText="1"/>
    </xf>
    <xf numFmtId="0" fontId="34" fillId="14" borderId="5" applyAlignment="1" pivotButton="0" quotePrefix="0" xfId="0">
      <alignment horizontal="center" vertical="center" wrapText="1"/>
    </xf>
    <xf numFmtId="10" fontId="17" fillId="3" borderId="1" applyAlignment="1" pivotButton="0" quotePrefix="0" xfId="0">
      <alignment horizontal="left" vertical="center" wrapText="1"/>
    </xf>
    <xf numFmtId="0" fontId="37" fillId="0" borderId="0" pivotButton="0" quotePrefix="0" xfId="0"/>
    <xf numFmtId="0" fontId="0" fillId="0" borderId="0" pivotButton="0" quotePrefix="0" xfId="0"/>
    <xf numFmtId="0" fontId="6" fillId="15" borderId="5" applyAlignment="1" pivotButton="0" quotePrefix="0" xfId="0">
      <alignment horizontal="center" vertical="center" wrapText="1"/>
    </xf>
    <xf numFmtId="0" fontId="27" fillId="15" borderId="5" applyAlignment="1" pivotButton="0" quotePrefix="0" xfId="0">
      <alignment horizontal="left" vertical="center" wrapText="1"/>
    </xf>
    <xf numFmtId="1" fontId="30" fillId="16" borderId="5" applyAlignment="1" pivotButton="0" quotePrefix="0" xfId="0">
      <alignment horizontal="center" vertical="center" wrapText="1"/>
    </xf>
    <xf numFmtId="1" fontId="30" fillId="17" borderId="5" applyAlignment="1" pivotButton="0" quotePrefix="0" xfId="0">
      <alignment horizontal="center" vertical="center" wrapText="1"/>
    </xf>
    <xf numFmtId="3" fontId="30" fillId="17" borderId="5" applyAlignment="1" pivotButton="0" quotePrefix="0" xfId="0">
      <alignment horizontal="center" vertical="center" wrapText="1"/>
    </xf>
    <xf numFmtId="3" fontId="30" fillId="16" borderId="5" applyAlignment="1" pivotButton="0" quotePrefix="0" xfId="0">
      <alignment horizontal="center" vertical="center" wrapText="1"/>
    </xf>
    <xf numFmtId="164" fontId="30" fillId="16" borderId="5" applyAlignment="1" pivotButton="0" quotePrefix="0" xfId="0">
      <alignment horizontal="center" vertical="center" wrapText="1"/>
    </xf>
    <xf numFmtId="166" fontId="30" fillId="17" borderId="5" applyAlignment="1" pivotButton="0" quotePrefix="0" xfId="0">
      <alignment horizontal="center" vertical="center" wrapText="1"/>
    </xf>
    <xf numFmtId="0" fontId="7" fillId="16" borderId="5" applyAlignment="1" pivotButton="0" quotePrefix="0" xfId="0">
      <alignment horizontal="center" vertical="center" wrapText="1"/>
    </xf>
    <xf numFmtId="3" fontId="32" fillId="16" borderId="5" applyAlignment="1" pivotButton="0" quotePrefix="0" xfId="0">
      <alignment horizontal="center" vertical="center" wrapText="1"/>
    </xf>
    <xf numFmtId="164" fontId="32" fillId="17" borderId="5" applyAlignment="1" pivotButton="0" quotePrefix="0" xfId="0">
      <alignment horizontal="center" vertical="center" wrapText="1"/>
    </xf>
    <xf numFmtId="0" fontId="42" fillId="0" borderId="0" pivotButton="0" quotePrefix="0" xfId="0"/>
    <xf numFmtId="0" fontId="38" fillId="0" borderId="0" applyAlignment="1" pivotButton="0" quotePrefix="0" xfId="0">
      <alignment vertical="top" wrapText="1"/>
    </xf>
    <xf numFmtId="0" fontId="38" fillId="16" borderId="3" applyAlignment="1" pivotButton="0" quotePrefix="0" xfId="0">
      <alignment horizontal="left" vertical="center" wrapText="1"/>
    </xf>
    <xf numFmtId="0" fontId="38" fillId="17" borderId="3" applyAlignment="1" pivotButton="0" quotePrefix="0" xfId="0">
      <alignment horizontal="left" vertical="center" wrapText="1"/>
    </xf>
    <xf numFmtId="0" fontId="39" fillId="23" borderId="0" applyAlignment="1" pivotButton="0" quotePrefix="0" xfId="0">
      <alignment horizontal="left" vertical="center" wrapText="1"/>
    </xf>
    <xf numFmtId="0" fontId="40" fillId="24" borderId="0" applyAlignment="1" pivotButton="0" quotePrefix="0" xfId="0">
      <alignment horizontal="left" vertical="center" wrapText="1"/>
    </xf>
    <xf numFmtId="0" fontId="38" fillId="24" borderId="0" applyAlignment="1" pivotButton="0" quotePrefix="0" xfId="0">
      <alignment horizontal="left" vertical="center" wrapText="1"/>
    </xf>
    <xf numFmtId="3" fontId="38" fillId="24" borderId="0" applyAlignment="1" pivotButton="0" quotePrefix="0" xfId="0">
      <alignment horizontal="center" vertical="center"/>
    </xf>
    <xf numFmtId="3" fontId="40" fillId="24" borderId="0" applyAlignment="1" pivotButton="0" quotePrefix="0" xfId="0">
      <alignment horizontal="center" vertical="center"/>
    </xf>
    <xf numFmtId="0" fontId="40" fillId="0" borderId="0" applyAlignment="1" pivotButton="0" quotePrefix="0" xfId="0">
      <alignment horizontal="left" vertical="center" wrapText="1"/>
    </xf>
    <xf numFmtId="0" fontId="38" fillId="0" borderId="0" applyAlignment="1" pivotButton="0" quotePrefix="0" xfId="0">
      <alignment horizontal="left" vertical="center" wrapText="1"/>
    </xf>
    <xf numFmtId="3" fontId="38" fillId="0" borderId="0" applyAlignment="1" pivotButton="0" quotePrefix="0" xfId="0">
      <alignment horizontal="center" vertical="center"/>
    </xf>
    <xf numFmtId="3" fontId="40" fillId="0" borderId="0" applyAlignment="1" pivotButton="0" quotePrefix="0" xfId="0">
      <alignment horizontal="center" vertical="center"/>
    </xf>
    <xf numFmtId="164" fontId="38" fillId="24" borderId="0" applyAlignment="1" pivotButton="0" quotePrefix="0" xfId="0">
      <alignment horizontal="center" vertical="center"/>
    </xf>
    <xf numFmtId="167" fontId="40" fillId="24" borderId="0" applyAlignment="1" pivotButton="0" quotePrefix="0" xfId="0">
      <alignment horizontal="center" vertical="center"/>
    </xf>
    <xf numFmtId="1" fontId="38" fillId="0" borderId="0" applyAlignment="1" pivotButton="0" quotePrefix="0" xfId="0">
      <alignment horizontal="center" vertical="center"/>
    </xf>
    <xf numFmtId="1" fontId="40" fillId="0" borderId="0" applyAlignment="1" pivotButton="0" quotePrefix="0" xfId="0">
      <alignment horizontal="center" vertical="center"/>
    </xf>
    <xf numFmtId="164" fontId="38" fillId="0" borderId="0" applyAlignment="1" pivotButton="0" quotePrefix="0" xfId="0">
      <alignment horizontal="center" vertical="center"/>
    </xf>
    <xf numFmtId="167" fontId="40" fillId="0" borderId="0" applyAlignment="1" pivotButton="0" quotePrefix="0" xfId="0">
      <alignment horizontal="center" vertical="center"/>
    </xf>
    <xf numFmtId="0" fontId="41" fillId="0" borderId="0" applyAlignment="1" pivotButton="0" quotePrefix="0" xfId="0">
      <alignment vertical="top" wrapText="1"/>
    </xf>
  </cellXfs>
  <cellStyles count="3">
    <cellStyle name="Normal" xfId="0" builtinId="0"/>
    <cellStyle name="Comma" xfId="1" builtinId="3"/>
    <cellStyle name="Hyperlink" xfId="2" builtinId="8"/>
  </cellStyles>
  <dxfs count="15">
    <dxf>
      <font>
        <name val="Calibri"/>
        <b val="1"/>
        <color rgb="FF9C5700"/>
        <sz val="10"/>
      </font>
      <fill>
        <patternFill patternType="solid">
          <fgColor rgb="FFFCE4CC"/>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blog.haveninlipa.com/family-staycation-lipa-city-batangas/" TargetMode="External" Id="rId1"/><Relationship Type="http://schemas.openxmlformats.org/officeDocument/2006/relationships/hyperlink" Target="https://blog.haveninlipa.com/romantic-getaway-batangas-lipa-city/" TargetMode="External" Id="rId2"/><Relationship Type="http://schemas.openxmlformats.org/officeDocument/2006/relationships/hyperlink" Target="https://blog.haveninlipa.com/mickey-in-lipa-coming-soon/" TargetMode="External" Id="rId3"/><Relationship Type="http://schemas.openxmlformats.org/officeDocument/2006/relationships/hyperlink" Target="https://blog.haveninlipa.com/family-weekend-batangas-without-beach-crowds/" TargetMode="External" Id="rId4"/><Relationship Type="http://schemas.openxmlformats.org/officeDocument/2006/relationships/hyperlink" Target="https://haveninlipa.com/properties/mickey-in-lipa--family-staycation--sleeps-7" TargetMode="External" Id="rId5"/><Relationship Type="http://schemas.openxmlformats.org/officeDocument/2006/relationships/hyperlink" Target="https://blog.haveninlipa.com/work-from-lipa-rainy-season-july/" TargetMode="External" Id="rId6"/><Relationship Type="http://schemas.openxmlformats.org/officeDocument/2006/relationships/hyperlink" Target="https://haveninlipa.com/properties/mickey-in-lipa--family-house--sleeps-11" TargetMode="External" Id="rId7"/><Relationship Type="http://schemas.openxmlformats.org/officeDocument/2006/relationships/hyperlink" Target="https://haveninlipa.com/properties/mickey-in-lipa--full-family-house--sleeps-15" TargetMode="External" Id="rId8"/></Relationships>
</file>

<file path=xl/worksheets/sheet1.xml><?xml version="1.0" encoding="utf-8"?>
<worksheet xmlns="http://schemas.openxmlformats.org/spreadsheetml/2006/main">
  <sheetPr>
    <outlinePr summaryBelow="1" summaryRight="1"/>
    <pageSetUpPr/>
  </sheetPr>
  <dimension ref="A2:B57"/>
  <sheetViews>
    <sheetView showGridLines="0" topLeftCell="A26" zoomScale="160" zoomScaleNormal="160" workbookViewId="0">
      <selection activeCell="B47" sqref="B47"/>
    </sheetView>
  </sheetViews>
  <sheetFormatPr baseColWidth="10" defaultColWidth="8.83203125" defaultRowHeight="15"/>
  <cols>
    <col width="4" customWidth="1" style="104" min="1" max="1"/>
    <col width="110" customWidth="1" style="104" min="2" max="2"/>
  </cols>
  <sheetData>
    <row r="2" ht="30" customHeight="1" s="104">
      <c r="B2" s="1" t="inlineStr">
        <is>
          <t>HavenInLipa Keyword Tracker</t>
        </is>
      </c>
    </row>
    <row r="3">
      <c r="B3" s="2" t="inlineStr">
        <is>
          <t>Source: Full SEO Strategy Report (May 8, 2026) + Articles #13 &amp; #14</t>
        </is>
      </c>
    </row>
    <row r="4">
      <c r="B4" s="3" t="inlineStr">
        <is>
          <t>Prepared by NetCoreSolutions</t>
        </is>
      </c>
    </row>
    <row r="6">
      <c r="B6" s="4" t="inlineStr">
        <is>
          <t>Purpose</t>
        </is>
      </c>
    </row>
    <row r="7" ht="28" customHeight="1" s="104">
      <c r="B7" s="5" t="inlineStr">
        <is>
          <t xml:space="preserve">  - This workbook is the single source of truth for the keywords HavenInLipa is targeting.</t>
        </is>
      </c>
    </row>
    <row r="8" ht="28" customHeight="1" s="104">
      <c r="B8" s="5" t="inlineStr">
        <is>
          <t xml:space="preserve">  - It is meant to be opened weekly (every Monday), updated from Google Search Console, and used to brief bloggers, editors, and the property team.</t>
        </is>
      </c>
    </row>
    <row r="10">
      <c r="B10" s="4" t="inlineStr">
        <is>
          <t>What's in each sheet</t>
        </is>
      </c>
    </row>
    <row r="11" ht="28" customHeight="1" s="104">
      <c r="B11" s="5" t="inlineStr">
        <is>
          <t xml:space="preserve">  - 1. README - This sheet. How to use the workbook.</t>
        </is>
      </c>
    </row>
    <row r="12" ht="28" customHeight="1" s="104">
      <c r="B12" s="5" t="inlineStr">
        <is>
          <t xml:space="preserve">  - 2. Keyword Master - The complete keyword list with cluster, intent, priority, target page, status, and tracking columns.</t>
        </is>
      </c>
    </row>
    <row r="13" ht="28" customHeight="1" s="104">
      <c r="B13" s="5" t="inlineStr">
        <is>
          <t xml:space="preserve">  - 3. Priority Focus (60-Day) - The short list of keywords to win in the next 60 days.</t>
        </is>
      </c>
    </row>
    <row r="14" ht="28" customHeight="1" s="104">
      <c r="B14" s="5" t="inlineStr">
        <is>
          <t xml:space="preserve">  - 4. GSC Setup Steps - Exact steps to track these keywords in Google Search Console.</t>
        </is>
      </c>
    </row>
    <row r="15" ht="28" customHeight="1" s="104">
      <c r="B15" s="5" t="inlineStr">
        <is>
          <t xml:space="preserve">  - 5. Blogger Brief - How the blogger should USE these keywords inside articles (no stuffing, no guessing).</t>
        </is>
      </c>
    </row>
    <row r="16" ht="28" customHeight="1" s="104">
      <c r="B16" s="5" t="inlineStr">
        <is>
          <t xml:space="preserve">  - 6. Tracking Log Template - Monthly snapshot template so you can see movement over time.</t>
        </is>
      </c>
    </row>
    <row r="18">
      <c r="B18" s="4" t="inlineStr">
        <is>
          <t>Update cadence</t>
        </is>
      </c>
    </row>
    <row r="19" ht="28" customHeight="1" s="104">
      <c r="B19" s="5" t="inlineStr">
        <is>
          <t xml:space="preserve">  - Weekly (Mondays, ~20 min): Pull GSC data for the previous 7 days, paste the latest position/impressions/clicks into the Keyword Master sheet, update the Last Reviewed column.</t>
        </is>
      </c>
    </row>
    <row r="20" ht="28" customHeight="1" s="104">
      <c r="B20" s="5" t="inlineStr">
        <is>
          <t xml:space="preserve">  - Monthly (1st of the month): Copy the Keyword Master snapshot into the Tracking Log sheet as 'YYYY-MM' so you can compare movement.</t>
        </is>
      </c>
    </row>
    <row r="21" ht="28" customHeight="1" s="104">
      <c r="B21" s="5" t="inlineStr">
        <is>
          <t xml:space="preserve">  - Quarterly: Review priorities. Promote keywords that are climbing into priority focus; retire keywords that aren't gaining traction.</t>
        </is>
      </c>
    </row>
    <row r="23">
      <c r="B23" s="4" t="inlineStr">
        <is>
          <t>Definitions (so the workbook stays consistent)</t>
        </is>
      </c>
    </row>
    <row r="24" ht="28" customHeight="1" s="104">
      <c r="B24" s="5" t="inlineStr">
        <is>
          <t xml:space="preserve">  - Priority - HIGH = drives bookings or brand discovery now. MEDIUM = supports clusters / mid-funnel. LOW = long-tail or future.</t>
        </is>
      </c>
    </row>
    <row r="25" ht="28" customHeight="1" s="104">
      <c r="B25" s="5" t="inlineStr">
        <is>
          <t xml:space="preserve">  - Status - Covered = a published page targets this. Partial = mentioned but not optimized. Drafted = written but not live. Gap = no page exists yet.</t>
        </is>
      </c>
    </row>
    <row r="26" ht="28" customHeight="1" s="104">
      <c r="B26" s="5" t="inlineStr">
        <is>
          <t xml:space="preserve">  - Intent - Transactional (ready to book), Commercial (comparing options), Informational (learning), Branded (looking for HavenInLipa specifically).</t>
        </is>
      </c>
    </row>
    <row r="28">
      <c r="B28" s="49" t="inlineStr">
        <is>
          <t>KPI Dashboard - how to update (monthly)</t>
        </is>
      </c>
    </row>
    <row r="29" ht="30" customHeight="1" s="104">
      <c r="B29" s="50" t="inlineStr">
        <is>
          <t>Once a month, open 'KPI Dashboard' and paste this month's numbers into the newest month column (seeded: 2026-05, 2026-06, 2026-07). Add a new dated column each month to grow the trend. Deltas and colors update automatically.</t>
        </is>
      </c>
    </row>
    <row r="30">
      <c r="B30" s="50" t="n"/>
    </row>
    <row r="31">
      <c r="B31" s="50" t="inlineStr">
        <is>
          <t>Where each number comes from (all free tools):</t>
        </is>
      </c>
    </row>
    <row r="32">
      <c r="B32" s="50" t="inlineStr">
        <is>
          <t xml:space="preserve">  - Google Search Console (GSC) &gt; Performance: impressions, clicks, CTR, avg position, and the Top 3/10/100 keyword counts (tracked set).</t>
        </is>
      </c>
    </row>
    <row r="33">
      <c r="B33" s="50" t="inlineStr">
        <is>
          <t xml:space="preserve">  - GSC &gt; Pages (Indexing): indexed page count and coverage errors.</t>
        </is>
      </c>
    </row>
    <row r="34">
      <c r="B34" s="50" t="inlineStr">
        <is>
          <t xml:space="preserve">  - GSC &gt; Core Web Vitals: Pass / Needs work / Fail.</t>
        </is>
      </c>
    </row>
    <row r="35">
      <c r="B35" s="50" t="inlineStr">
        <is>
          <t xml:space="preserve">  - Google Business Profile (GBP) &gt; Performance: calls, direction requests, website clicks, profile views (the local conversion signals).</t>
        </is>
      </c>
    </row>
    <row r="36">
      <c r="B36" s="50" t="n"/>
    </row>
    <row r="37">
      <c r="B37" s="50" t="inlineStr">
        <is>
          <t>'Cluster KPIs' needs no input - it rolls up automatically from the Keyword Master columns you already maintain (Clicks/Impressions/Position by cluster).</t>
        </is>
      </c>
    </row>
    <row r="38">
      <c r="B38" s="50" t="inlineStr">
        <is>
          <t>'Tracking Log Template' is the per-keyword drill-down beneath the dashboard - log individual keyword movement there when you want detail.</t>
        </is>
      </c>
    </row>
    <row r="39">
      <c r="B39" s="50" t="n"/>
    </row>
    <row r="40" ht="30" customHeight="1" s="104">
      <c r="B40" s="50" t="inlineStr">
        <is>
          <t>Read the tiers top-down: impressions rise -&gt; rankings improve -&gt; clicks grow -&gt; GBP actions follow. If impressions are up but clicks flat, it's a title/CTR issue; if clicks up but GBP actions flat, it's an intent/match issue.</t>
        </is>
      </c>
    </row>
    <row r="42">
      <c r="B42" s="49" t="inlineStr">
        <is>
          <t>How to find Top 3, 10, 100 keyword counts?</t>
        </is>
      </c>
    </row>
    <row r="43">
      <c r="B43" t="inlineStr">
        <is>
          <t>1. Open Performance → Search results.</t>
        </is>
      </c>
    </row>
    <row r="44">
      <c r="B44" t="inlineStr">
        <is>
          <t>2. Click the Date chip (top) → Custom → set the month (e.g., May 1 – May 31) → Apply.</t>
        </is>
      </c>
    </row>
    <row r="45">
      <c r="B45" t="inlineStr">
        <is>
          <t>3. At the top you'll see four cards: Total clicks · Total impressions · Average CTR · Average position. Click the "Average position" card so it turns blue/active. This adds a Position column to the table below. (It's off by default — this is the step most people miss.)</t>
        </is>
      </c>
    </row>
    <row r="46">
      <c r="B46" t="inlineStr">
        <is>
          <t>4. Below the cards, the QUERIES tab is already selected. This lists every search term you appeared for, with its average Position.</t>
        </is>
      </c>
    </row>
    <row r="48">
      <c r="A48" s="116" t="inlineStr">
        <is>
          <t>KPI baseline reconciliation - 2026-08-14</t>
        </is>
      </c>
    </row>
    <row r="49">
      <c r="A49" s="117" t="inlineStr">
        <is>
          <t>- Source: calendar-month GSC exports (May 1-31, Jun 1-30, Jul 1-31), Domain property. Daily Chart sums reconcile against BOTH the Countries and Devices tab totals for all three months.</t>
        </is>
      </c>
    </row>
    <row r="50">
      <c r="A50" s="117" t="inlineStr">
        <is>
          <t>- Verified monthly totals - impressions 910 / 4,295 / 17,218; clicks 12 / 80 / 267; CTR 1.32% / 1.86% / 1.55%; avg position 10.2 / 8.4 / 6.7.</t>
        </is>
      </c>
    </row>
    <row r="51">
      <c r="A51" s="117" t="inlineStr">
        <is>
          <t>- CORRECTION - Jul clicks were recorded as 244; that is the Philippines row. True total is 267 (244 PH + 23 international).</t>
        </is>
      </c>
    </row>
    <row r="52">
      <c r="A52" s="117" t="inlineStr">
        <is>
          <t>- CORRECTION - Indexed Pages were recorded 23/28/39; GSC month-end values are 22/35/41. The old '31' was the mid-June reading (Jun 12-29).</t>
        </is>
      </c>
    </row>
    <row r="53">
      <c r="A53" s="117" t="inlineStr">
        <is>
          <t>- Average Position is impression-weighted from the Devices tab; GSC's own aggregation differs slightly. Labelled derived.</t>
        </is>
      </c>
    </row>
    <row r="54">
      <c r="A54" s="117" t="inlineStr">
        <is>
          <t>- Top 3/10/100 use ALL queries in the export and are FLOORS (GSC anonymises rare queries - the Jul export holds 115 of 267 clicks, 43%). Geo-qualified equivalents are in the Qualified Reach &amp; Funnel tier.</t>
        </is>
      </c>
    </row>
    <row r="55">
      <c r="A55" s="117" t="inlineStr">
        <is>
          <t>- 'Geo-qualified' = the query names Lipa, Batangas, or a local landmark (Maculot, Taal, Casa de Segunda, Lomi King...). Jul: 4,914 impressions at 2.26% CTR vs 3,850 generic at 0.10% - so TOTAL impressions is now a vanity metric. Track the geo-qualified row instead.</t>
        </is>
      </c>
    </row>
    <row r="56">
      <c r="A56" s="117" t="inlineStr">
        <is>
          <t>- Index Coverage Errors stays 1 (one Redirect error). The 39 not-indexed pages are mostly intentional (14 noindex) or benign; the strategic number is 18 'Crawled - currently not indexed', now its own row.</t>
        </is>
      </c>
    </row>
    <row r="57">
      <c r="A57" s="117" t="inlineStr">
        <is>
          <t>- Still needed: GBP for Aug, Organic Conversions (bookings count - ambiguous, see footnote), GSC Core Web Vitals FIELD data, and the Blog -&gt; Property rows once the Stay Match engine ships.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showGridLines="0" tabSelected="1" zoomScale="170" zoomScaleNormal="170" workbookViewId="0">
      <pane xSplit="2" ySplit="3" topLeftCell="D4" activePane="bottomRight" state="frozen"/>
      <selection pane="topRight" activeCell="A1" sqref="A1"/>
      <selection pane="bottomLeft" activeCell="A1" sqref="A1"/>
      <selection pane="bottomRight" activeCell="G5" sqref="G5"/>
    </sheetView>
  </sheetViews>
  <sheetFormatPr baseColWidth="10" defaultColWidth="8.83203125" defaultRowHeight="15"/>
  <cols>
    <col width="34" customWidth="1" style="104" min="1" max="1"/>
    <col width="63.5" customWidth="1" style="104" min="2" max="2"/>
    <col width="12.33203125" customWidth="1" style="104" min="3" max="3"/>
    <col width="13" customWidth="1" style="104" min="4" max="7"/>
    <col width="12" customWidth="1" style="104" min="8" max="8"/>
  </cols>
  <sheetData>
    <row r="1" ht="21" customHeight="1" s="104">
      <c r="A1" s="51" t="inlineStr">
        <is>
          <t>HavenInLipa - SEO KPI Dashboard</t>
        </is>
      </c>
    </row>
    <row r="2">
      <c r="A2" s="49" t="inlineStr">
        <is>
          <t>Monthly performance tracking - paste ~15 numbers once a month; deltas auto-calc. Keyword-level history lives in 'Tracking Log Template'.</t>
        </is>
      </c>
    </row>
    <row r="3" ht="30" customHeight="1" s="104">
      <c r="A3" s="52" t="inlineStr">
        <is>
          <t>KPI</t>
        </is>
      </c>
      <c r="B3" s="52" t="inlineStr">
        <is>
          <t>Source / How to pull</t>
        </is>
      </c>
      <c r="C3" s="52" t="inlineStr">
        <is>
          <t>2026-04</t>
        </is>
      </c>
      <c r="D3" s="52" t="inlineStr">
        <is>
          <t>2026-05</t>
        </is>
      </c>
      <c r="E3" s="52" t="inlineStr">
        <is>
          <t>2026-06</t>
        </is>
      </c>
      <c r="F3" s="88" t="inlineStr">
        <is>
          <t>2026-07</t>
        </is>
      </c>
      <c r="G3" s="105" t="inlineStr">
        <is>
          <t>Mid 2026-08</t>
        </is>
      </c>
      <c r="H3" s="52" t="inlineStr">
        <is>
          <t>Δ Jul vs Jun</t>
        </is>
      </c>
    </row>
    <row r="4">
      <c r="A4" s="53" t="inlineStr">
        <is>
          <t>Leading Indicators (move first, ~2-8 weeks)</t>
        </is>
      </c>
      <c r="B4" s="53" t="n"/>
      <c r="C4" s="53" t="n"/>
      <c r="D4" s="53" t="n"/>
      <c r="E4" s="53" t="n"/>
      <c r="F4" s="53" t="n"/>
      <c r="G4" s="106" t="n"/>
      <c r="H4" s="53" t="n"/>
    </row>
    <row r="5">
      <c r="A5" s="54" t="inlineStr">
        <is>
          <t>Keywords in Top 3</t>
        </is>
      </c>
      <c r="B5" s="118" t="inlineStr">
        <is>
          <t>GSC &gt; Performance &gt; Queries; count position &lt;= 3. Basis: ALL queries in the calendar-month export (a floor — GSC anonymises rare queries).  (higher is better)</t>
        </is>
      </c>
      <c r="C5" s="55" t="n">
        <v>6</v>
      </c>
      <c r="D5" s="56" t="n">
        <v>8</v>
      </c>
      <c r="E5" s="56" t="n">
        <v>38</v>
      </c>
      <c r="F5" s="56" t="n">
        <v>115</v>
      </c>
      <c r="G5" s="107" t="n"/>
      <c r="H5" s="56">
        <f>IF(OR(F5="",E5=""),"",F5-E5)</f>
        <v/>
      </c>
    </row>
    <row r="6">
      <c r="A6" s="57" t="inlineStr">
        <is>
          <t>Keywords in Top 10</t>
        </is>
      </c>
      <c r="B6" s="119" t="inlineStr">
        <is>
          <t>GSC &gt; Performance &gt; Queries; count position &lt;= 10. Basis: ALL queries in export (floor).  (higher is better)</t>
        </is>
      </c>
      <c r="C6" s="58" t="n">
        <v>9</v>
      </c>
      <c r="D6" s="59" t="n">
        <v>26</v>
      </c>
      <c r="E6" s="59" t="n">
        <v>128</v>
      </c>
      <c r="F6" s="59" t="n">
        <v>494</v>
      </c>
      <c r="G6" s="108" t="n"/>
      <c r="H6" s="59">
        <f>IF(OR(F6="",E6=""),"",F6-E6)</f>
        <v/>
      </c>
    </row>
    <row r="7">
      <c r="A7" s="54" t="inlineStr">
        <is>
          <t>Keywords in Top 100</t>
        </is>
      </c>
      <c r="B7" s="118" t="inlineStr">
        <is>
          <t>GSC &gt; Performance &gt; Queries; count position &lt;= 100. Basis: ALL queries in export (floor).  (higher is better)</t>
        </is>
      </c>
      <c r="C7" s="55" t="n">
        <v>10</v>
      </c>
      <c r="D7" s="56" t="n">
        <v>70</v>
      </c>
      <c r="E7" s="56" t="n">
        <v>189</v>
      </c>
      <c r="F7" s="56" t="n">
        <v>607</v>
      </c>
      <c r="G7" s="107" t="n"/>
      <c r="H7" s="56">
        <f>IF(OR(F7="",E7=""),"",F7-E7)</f>
        <v/>
      </c>
    </row>
    <row r="8">
      <c r="A8" s="57" t="inlineStr">
        <is>
          <t>Total Impressions (28d)</t>
        </is>
      </c>
      <c r="B8" s="58" t="inlineStr">
        <is>
          <t>GSC &gt; Performance &gt; last 28 days &gt; Total impressions  (higher is better)</t>
        </is>
      </c>
      <c r="C8" s="58" t="n">
        <v>41</v>
      </c>
      <c r="D8" s="60" t="n">
        <v>910</v>
      </c>
      <c r="E8" s="60" t="n">
        <v>4295</v>
      </c>
      <c r="F8" s="60" t="n">
        <v>17218</v>
      </c>
      <c r="G8" s="109" t="n"/>
      <c r="H8" s="60">
        <f>IF(OR(F8="",E8=""),"",F8-E8)</f>
        <v/>
      </c>
    </row>
    <row r="9">
      <c r="A9" s="54" t="inlineStr">
        <is>
          <t>Indexed Pages</t>
        </is>
      </c>
      <c r="B9" s="55" t="inlineStr">
        <is>
          <t>GSC &gt; Pages (Indexing) &gt; Indexed count (or Page Indexing Tracker)  (higher is better)</t>
        </is>
      </c>
      <c r="C9" s="55" t="n">
        <v>4</v>
      </c>
      <c r="D9" s="56" t="n">
        <v>22</v>
      </c>
      <c r="E9" s="56" t="n">
        <v>35</v>
      </c>
      <c r="F9" s="56" t="n">
        <v>41</v>
      </c>
      <c r="G9" s="107" t="n">
        <v>41</v>
      </c>
      <c r="H9" s="56">
        <f>IF(OR(F9="",E9=""),"",F9-E9)</f>
        <v/>
      </c>
    </row>
    <row r="10">
      <c r="A10" s="53" t="inlineStr">
        <is>
          <t>Traffic &amp; Engagement (~1-4 months)</t>
        </is>
      </c>
      <c r="B10" s="53" t="n"/>
      <c r="C10" s="53" t="n"/>
      <c r="D10" s="53" t="n"/>
      <c r="E10" s="53" t="n"/>
      <c r="F10" s="53" t="n"/>
      <c r="G10" s="106" t="n"/>
      <c r="H10" s="53" t="n"/>
    </row>
    <row r="11">
      <c r="A11" s="54" t="inlineStr">
        <is>
          <t>Non-branded Organic Clicks</t>
        </is>
      </c>
      <c r="B11" s="118" t="inlineStr">
        <is>
          <t>GSC &gt; Performance &gt; 'Queries not containing' brand filter &gt; Clicks. 2026-05..07 are DERIVED = total clicks, because branded terms drew ZERO clicks in all three months.  (higher is better)</t>
        </is>
      </c>
      <c r="C11" s="55" t="n">
        <v>0</v>
      </c>
      <c r="D11" s="61" t="n">
        <v>12</v>
      </c>
      <c r="E11" s="61" t="n">
        <v>80</v>
      </c>
      <c r="F11" s="61" t="n">
        <v>267</v>
      </c>
      <c r="G11" s="110" t="n"/>
      <c r="H11" s="61">
        <f>IF(OR(F11="",E11=""),"",F11-E11)</f>
        <v/>
      </c>
    </row>
    <row r="12">
      <c r="A12" s="57" t="inlineStr">
        <is>
          <t>Total Organic Clicks (28d)</t>
        </is>
      </c>
      <c r="B12" s="58" t="inlineStr">
        <is>
          <t>GSC &gt; Performance &gt; last 28 days &gt; Total clicks (higher is better)</t>
        </is>
      </c>
      <c r="C12" s="58" t="n">
        <v>2</v>
      </c>
      <c r="D12" s="60" t="n">
        <v>12</v>
      </c>
      <c r="E12" s="60" t="n">
        <v>80</v>
      </c>
      <c r="F12" s="60" t="n">
        <v>267</v>
      </c>
      <c r="G12" s="109" t="n"/>
      <c r="H12" s="60">
        <f>IF(OR(F12="",E12=""),"",F12-E12)</f>
        <v/>
      </c>
    </row>
    <row r="13">
      <c r="A13" s="54" t="inlineStr">
        <is>
          <t>Organic CTR %</t>
        </is>
      </c>
      <c r="B13" s="55" t="inlineStr">
        <is>
          <t>GSC &gt; Performance &gt; Average CTR (higher is better)</t>
        </is>
      </c>
      <c r="C13" s="87" t="n">
        <v>0.049</v>
      </c>
      <c r="D13" s="62" t="n">
        <v>0.0132</v>
      </c>
      <c r="E13" s="62" t="n">
        <v>0.0186</v>
      </c>
      <c r="F13" s="62" t="n">
        <v>0.0155</v>
      </c>
      <c r="G13" s="111" t="n"/>
      <c r="H13" s="63">
        <f>IF(OR(F13="",E13=""),"",F13-E13)</f>
        <v/>
      </c>
    </row>
    <row r="14">
      <c r="A14" s="57" t="inlineStr">
        <is>
          <t>Average Position</t>
        </is>
      </c>
      <c r="B14" s="119" t="inlineStr">
        <is>
          <t>GSC &gt; Performance &gt; Average position. 2026-05..07 recomputed impression-weighted from the Devices tab (derived).  (lower is better)</t>
        </is>
      </c>
      <c r="C14" s="58" t="n">
        <v>8.4</v>
      </c>
      <c r="D14" s="64" t="n">
        <v>10.2</v>
      </c>
      <c r="E14" s="64" t="n">
        <v>8.4</v>
      </c>
      <c r="F14" s="64" t="n">
        <v>6.7</v>
      </c>
      <c r="G14" s="112" t="n"/>
      <c r="H14" s="64">
        <f>IF(OR(F14="",E14=""),"",F14-E14)</f>
        <v/>
      </c>
    </row>
    <row r="15">
      <c r="A15" s="53" t="inlineStr">
        <is>
          <t>Local / Conversion - Google Business Profile</t>
        </is>
      </c>
      <c r="B15" s="53" t="n"/>
      <c r="C15" s="53" t="n"/>
      <c r="D15" s="53" t="n"/>
      <c r="E15" s="53" t="n"/>
      <c r="F15" s="53" t="n"/>
      <c r="G15" s="106" t="n"/>
      <c r="H15" s="53" t="n"/>
    </row>
    <row r="16">
      <c r="A16" s="54" t="inlineStr">
        <is>
          <t>GBP Calls</t>
        </is>
      </c>
      <c r="B16" s="55" t="inlineStr">
        <is>
          <t>GBP &gt; Performance &gt; Calls (monthly) (higher is better)</t>
        </is>
      </c>
      <c r="C16" s="55" t="n">
        <v>0</v>
      </c>
      <c r="D16" s="61" t="n">
        <v>1</v>
      </c>
      <c r="E16" s="61" t="n">
        <v>4</v>
      </c>
      <c r="F16" s="61" t="n">
        <v>0</v>
      </c>
      <c r="G16" s="110" t="n"/>
      <c r="H16" s="61">
        <f>IF(OR(F16="",E16=""),"",F16-E16)</f>
        <v/>
      </c>
    </row>
    <row r="17">
      <c r="A17" s="57" t="inlineStr">
        <is>
          <t>GBP Direction Requests</t>
        </is>
      </c>
      <c r="B17" s="58" t="inlineStr">
        <is>
          <t>GBP &gt; Performance &gt; Directions (higher is better)</t>
        </is>
      </c>
      <c r="C17" s="58" t="n">
        <v>43</v>
      </c>
      <c r="D17" s="60" t="n">
        <v>32</v>
      </c>
      <c r="E17" s="60" t="n">
        <v>49</v>
      </c>
      <c r="F17" s="60" t="n">
        <v>65</v>
      </c>
      <c r="G17" s="109" t="n"/>
      <c r="H17" s="60">
        <f>IF(OR(F17="",E17=""),"",F17-E17)</f>
        <v/>
      </c>
    </row>
    <row r="18">
      <c r="A18" s="54" t="inlineStr">
        <is>
          <t>GBP Website Clicks</t>
        </is>
      </c>
      <c r="B18" s="55" t="inlineStr">
        <is>
          <t>GBP &gt; Performance &gt; Website clicks (higher is better)</t>
        </is>
      </c>
      <c r="C18" s="55" t="n">
        <v>1</v>
      </c>
      <c r="D18" s="61" t="n">
        <v>1</v>
      </c>
      <c r="E18" s="61" t="n">
        <v>1</v>
      </c>
      <c r="F18" s="61" t="n">
        <v>0</v>
      </c>
      <c r="G18" s="110" t="n"/>
      <c r="H18" s="61">
        <f>IF(OR(F18="",E18=""),"",F18-E18)</f>
        <v/>
      </c>
    </row>
    <row r="19">
      <c r="A19" s="57" t="inlineStr">
        <is>
          <t>GBP Profile Views</t>
        </is>
      </c>
      <c r="B19" s="58" t="inlineStr">
        <is>
          <t>GBP &gt; Performance &gt; Views (search + maps) (higher is better)</t>
        </is>
      </c>
      <c r="C19" s="58" t="n">
        <v>150</v>
      </c>
      <c r="D19" s="60" t="n">
        <v>158</v>
      </c>
      <c r="E19" s="60" t="n">
        <v>153</v>
      </c>
      <c r="F19" s="60" t="n">
        <v>238</v>
      </c>
      <c r="G19" s="109" t="n"/>
      <c r="H19" s="60">
        <f>IF(OR(F19="",E19=""),"",F19-E19)</f>
        <v/>
      </c>
    </row>
    <row r="20" ht="30" customHeight="1" s="104">
      <c r="A20" s="53" t="inlineStr">
        <is>
          <t>Guardrails (regressions here silently kill the rest)</t>
        </is>
      </c>
      <c r="B20" s="53" t="n"/>
      <c r="C20" s="53" t="n"/>
      <c r="D20" s="53" t="n"/>
      <c r="E20" s="53" t="n"/>
      <c r="F20" s="53" t="n"/>
      <c r="G20" s="106" t="n"/>
      <c r="H20" s="53" t="n"/>
    </row>
    <row r="21">
      <c r="A21" s="54" t="inlineStr">
        <is>
          <t>Core Web Vitals (Pass/Fail)</t>
        </is>
      </c>
      <c r="B21" s="118" t="inlineStr">
        <is>
          <t>GSC &gt; Core Web Vitals (FIELD data). NOTE: 2026-08 'Pass' is from PageSpeed LAB data (98 mobile / 100 desktop) — GSC field data may read 'insufficient data' at this traffic level.</t>
        </is>
      </c>
      <c r="C21" s="55" t="inlineStr">
        <is>
          <t>Needs work</t>
        </is>
      </c>
      <c r="D21" s="81" t="inlineStr">
        <is>
          <t>Needs work</t>
        </is>
      </c>
      <c r="E21" s="81" t="inlineStr">
        <is>
          <t>Pass</t>
        </is>
      </c>
      <c r="F21" s="81" t="inlineStr">
        <is>
          <t>Pass</t>
        </is>
      </c>
      <c r="G21" s="113" t="inlineStr">
        <is>
          <t>Pass</t>
        </is>
      </c>
      <c r="H21" s="65" t="n"/>
    </row>
    <row r="22">
      <c r="A22" s="57" t="inlineStr">
        <is>
          <t>Index Coverage Errors</t>
        </is>
      </c>
      <c r="B22" s="119" t="inlineStr">
        <is>
          <t>GSC &gt; Pages (Indexing) &gt; ERROR count only (currently 1 Redirect error). Total not-indexed is a different metric — see the Qualified Reach &amp; Funnel tier.  (lower is better)</t>
        </is>
      </c>
      <c r="C22" s="58" t="n">
        <v>0</v>
      </c>
      <c r="D22" s="59" t="n">
        <v>1</v>
      </c>
      <c r="E22" s="59" t="n">
        <v>1</v>
      </c>
      <c r="F22" s="59" t="n">
        <v>1</v>
      </c>
      <c r="G22" s="108" t="n">
        <v>1</v>
      </c>
      <c r="H22" s="59">
        <f>IF(OR(F22="",E22=""),"",F22-E22)</f>
        <v/>
      </c>
    </row>
    <row r="24" ht="30" customHeight="1" s="104">
      <c r="A24" s="53" t="inlineStr">
        <is>
          <t>Conversion Outcomes (GA4) - the numbers that prove ROI</t>
        </is>
      </c>
      <c r="B24" s="53" t="n"/>
      <c r="C24" s="53" t="n"/>
      <c r="D24" s="53" t="n"/>
      <c r="E24" s="53" t="n"/>
      <c r="F24" s="53" t="n"/>
      <c r="G24" s="106" t="n"/>
      <c r="H24" s="53" t="n"/>
    </row>
    <row r="25" ht="30" customHeight="1" s="104">
      <c r="A25" s="94" t="inlineStr">
        <is>
          <t>Organic Conversions (bookings + inquiries)</t>
        </is>
      </c>
      <c r="B25" s="55" t="inlineStr">
        <is>
          <t>GA4 &gt; Key events (booking_confirmed + generate_lead), Organic segment (see Conversion Fix #3). Enter monthly.</t>
        </is>
      </c>
      <c r="C25" s="95" t="n"/>
      <c r="D25" s="96" t="n"/>
      <c r="E25" s="96" t="n"/>
      <c r="F25" s="96" t="n"/>
      <c r="G25" s="114" t="n"/>
      <c r="H25" s="96">
        <f>IF(OR(F25="",E25=""),"",F25-E25)</f>
        <v/>
      </c>
    </row>
    <row r="26">
      <c r="A26" s="97" t="inlineStr">
        <is>
          <t>Organic Conversion Rate</t>
        </is>
      </c>
      <c r="B26" s="58" t="n"/>
      <c r="C26" s="98">
        <f>IF(OR(C25="",C12="",C12=0),"",C25/C12)</f>
        <v/>
      </c>
      <c r="D26" s="99">
        <f>IF(OR(D25="",D12="",D12=0),"",D25/D12)</f>
        <v/>
      </c>
      <c r="E26" s="99">
        <f>IF(OR(E25="",E12="",E12=0),"",E25/E12)</f>
        <v/>
      </c>
      <c r="F26" s="99">
        <f>IF(OR(F25="",F12="",F12=0),"",F25/F12)</f>
        <v/>
      </c>
      <c r="G26" s="115" t="n"/>
      <c r="H26" s="100">
        <f>IF(OR(F26="",E26=""),"",F26-E26)</f>
        <v/>
      </c>
    </row>
    <row r="28">
      <c r="A28" s="120" t="inlineStr">
        <is>
          <t>Qualified Reach &amp; Funnel (added 2026-08-14) - is the reach REAL, and does it reach the booking pages?</t>
        </is>
      </c>
      <c r="B28" s="120" t="n"/>
      <c r="C28" s="120" t="n"/>
      <c r="D28" s="120" t="n"/>
      <c r="E28" s="120" t="n"/>
      <c r="F28" s="120" t="n"/>
      <c r="G28" s="120" t="n"/>
      <c r="H28" s="120" t="n"/>
    </row>
    <row r="29">
      <c r="A29" s="121" t="inlineStr">
        <is>
          <t>Geo-qualified Impressions</t>
        </is>
      </c>
      <c r="B29" s="122" t="inlineStr">
        <is>
          <t>GSC &gt; Performance &gt; filter Query CONTAINS "lipa" &gt; Impressions (calendar month; export basis = floor).  (higher is better)</t>
        </is>
      </c>
      <c r="C29" s="123" t="n"/>
      <c r="D29" s="123" t="n">
        <v>181</v>
      </c>
      <c r="E29" s="123" t="n">
        <v>1254</v>
      </c>
      <c r="F29" s="123" t="n">
        <v>4914</v>
      </c>
      <c r="G29" s="123" t="n"/>
      <c r="H29" s="124">
        <f>IF(OR(F29="",E29=""),"",F29-E29)</f>
        <v/>
      </c>
    </row>
    <row r="30">
      <c r="A30" s="125" t="inlineStr">
        <is>
          <t>Geo-qualified Clicks</t>
        </is>
      </c>
      <c r="B30" s="126" t="inlineStr">
        <is>
          <t>Same "lipa" query filter &gt; Clicks. THE real reach number (export basis = floor).  (higher is better)</t>
        </is>
      </c>
      <c r="C30" s="127" t="n"/>
      <c r="D30" s="127" t="n">
        <v>0</v>
      </c>
      <c r="E30" s="127" t="n">
        <v>12</v>
      </c>
      <c r="F30" s="127" t="n">
        <v>111</v>
      </c>
      <c r="G30" s="127" t="n"/>
      <c r="H30" s="128">
        <f>IF(OR(F30="",E30=""),"",F30-E30)</f>
        <v/>
      </c>
    </row>
    <row r="31">
      <c r="A31" s="121" t="inlineStr">
        <is>
          <t>Geo-qualified CTR %</t>
        </is>
      </c>
      <c r="B31" s="122" t="inlineStr">
        <is>
          <t>Auto = Geo-qualified Clicks / Geo-qualified Impressions. Jul was 2.26% vs 0.10% on generic queries - a 23x gap.  (higher is better)</t>
        </is>
      </c>
      <c r="C31" s="129">
        <f>IF(OR(C30="",C29="",C29=0),"",C30/C29)</f>
        <v/>
      </c>
      <c r="D31" s="129">
        <f>IF(OR(D30="",D29="",D29=0),"",D30/D29)</f>
        <v/>
      </c>
      <c r="E31" s="129">
        <f>IF(OR(E30="",E29="",E29=0),"",E30/E29)</f>
        <v/>
      </c>
      <c r="F31" s="129">
        <f>IF(OR(F30="",F29="",F29=0),"",F30/F29)</f>
        <v/>
      </c>
      <c r="G31" s="129">
        <f>IF(OR(G30="",G29="",G29=0),"",G30/G29)</f>
        <v/>
      </c>
      <c r="H31" s="130">
        <f>IF(OR(F31="",E31=""),"",F31-E31)</f>
        <v/>
      </c>
    </row>
    <row r="32">
      <c r="A32" s="125" t="inlineStr">
        <is>
          <t>Geo-qualified Keywords in Top 10</t>
        </is>
      </c>
      <c r="B32" s="126" t="inlineStr">
        <is>
          <t>Queries export, geo-qualified rows only, position &lt;= 10. Better "tracked set" proxy than the all-query count above.  (higher is better)</t>
        </is>
      </c>
      <c r="C32" s="131" t="n"/>
      <c r="D32" s="131" t="n">
        <v>13</v>
      </c>
      <c r="E32" s="131" t="n">
        <v>74</v>
      </c>
      <c r="F32" s="131" t="n">
        <v>199</v>
      </c>
      <c r="G32" s="131" t="n"/>
      <c r="H32" s="132">
        <f>IF(OR(F32="",E32=""),"",F32-E32)</f>
        <v/>
      </c>
    </row>
    <row r="33">
      <c r="A33" s="121" t="inlineStr">
        <is>
          <t>Generic (non-geo) Impressions</t>
        </is>
      </c>
      <c r="B33" s="122" t="inlineStr">
        <is>
          <t>Queries export rows NOT naming Lipa/Batangas/a local landmark ("best restaurants near me", foreign-language food queries). Dilution watch - inflates total impressions at ~0.1% CTR.  (lower is better)</t>
        </is>
      </c>
      <c r="C33" s="123" t="n"/>
      <c r="D33" s="123" t="n">
        <v>79</v>
      </c>
      <c r="E33" s="123" t="n">
        <v>223</v>
      </c>
      <c r="F33" s="123" t="n">
        <v>3850</v>
      </c>
      <c r="G33" s="123" t="n"/>
      <c r="H33" s="124">
        <f>IF(OR(F33="",E33=""),"",F33-E33)</f>
        <v/>
      </c>
    </row>
    <row r="34">
      <c r="A34" s="125" t="inlineStr">
        <is>
          <t>Crawled - currently not indexed</t>
        </is>
      </c>
      <c r="B34" s="126" t="inlineStr">
        <is>
          <t>GSC &gt; Pages (Indexing) &gt; "Crawled - currently not indexed". Google crawled these and declined to index them. Current-day snapshot.  (lower is better)</t>
        </is>
      </c>
      <c r="C34" s="131" t="n"/>
      <c r="D34" s="131" t="n"/>
      <c r="E34" s="131" t="n"/>
      <c r="F34" s="131" t="n"/>
      <c r="G34" s="131" t="n">
        <v>18</v>
      </c>
      <c r="H34" s="132">
        <f>IF(OR(F34="",E34=""),"",F34-E34)</f>
        <v/>
      </c>
    </row>
    <row r="35">
      <c r="A35" s="121" t="inlineStr">
        <is>
          <t>Blog -&gt; Property Clicks</t>
        </is>
      </c>
      <c r="B35" s="122" t="inlineStr">
        <is>
          <t>GA4 stay_match_click + property-link clicks from blog articles. Requires the Stay Match engine (brief pending).  (higher is better)</t>
        </is>
      </c>
      <c r="C35" s="123" t="n"/>
      <c r="D35" s="123" t="n"/>
      <c r="E35" s="123" t="n"/>
      <c r="F35" s="123" t="n"/>
      <c r="G35" s="123" t="n"/>
      <c r="H35" s="124">
        <f>IF(OR(F35="",E35=""),"",F35-E35)</f>
        <v/>
      </c>
    </row>
    <row r="36">
      <c r="A36" s="125" t="inlineStr">
        <is>
          <t>Blog -&gt; Property CTR %</t>
        </is>
      </c>
      <c r="B36" s="126" t="inlineStr">
        <is>
          <t>Auto = Blog -&gt; Property Clicks / Total Organic Clicks (row 12). The hand-off rate: Jul was ~1.9% by page-level proxy.  (higher is better)</t>
        </is>
      </c>
      <c r="C36" s="133">
        <f>IF(OR(C35="",C12="",C12=0),"",C35/C12)</f>
        <v/>
      </c>
      <c r="D36" s="133">
        <f>IF(OR(D35="",D12="",D12=0),"",D35/D12)</f>
        <v/>
      </c>
      <c r="E36" s="133">
        <f>IF(OR(E35="",E12="",E12=0),"",E35/E12)</f>
        <v/>
      </c>
      <c r="F36" s="133">
        <f>IF(OR(F35="",F12="",F12=0),"",F35/F12)</f>
        <v/>
      </c>
      <c r="G36" s="133">
        <f>IF(OR(G35="",G12="",G12=0),"",G35/G12)</f>
        <v/>
      </c>
      <c r="H36" s="134">
        <f>IF(OR(F36="",E36=""),"",F36-E36)</f>
        <v/>
      </c>
    </row>
    <row r="37">
      <c r="A37" s="121" t="inlineStr">
        <is>
          <t>Stay-Match Click Rate %</t>
        </is>
      </c>
      <c r="B37" s="122" t="inlineStr">
        <is>
          <t>GA4 stay_match_click / stay_match_view. Break down by the confidence param in GA4 to retune the scoring weights monthly.  (higher is better)</t>
        </is>
      </c>
      <c r="C37" s="129" t="n"/>
      <c r="D37" s="129" t="n"/>
      <c r="E37" s="129" t="n"/>
      <c r="F37" s="129" t="n"/>
      <c r="G37" s="129" t="n"/>
      <c r="H37" s="130">
        <f>IF(OR(F37="",E37=""),"",F37-E37)</f>
        <v/>
      </c>
    </row>
    <row r="39">
      <c r="A39" s="135" t="inlineStr">
        <is>
          <t>Δ Jul vs Jun = last two COMPLETE months (F minus E). The 'Mid 2026-08' column is a partial-month/current-day snapshot and is deliberately excluded from the delta. Green = improving; direction-aware (for Average Position, Index Coverage Errors, Crawled-not-indexed and Generic Impressions, LOWER is better).  |  Pull-window rule: Performance rows are date-ranged to the calendar month; Indexed Pages, Index Coverage Errors, Crawled-not-indexed and Core Web Vitals are current-day snapshots.  |  2026-08-14 reconciliation: Jul clicks 244-&gt;267 (244 was the Philippines row, not the total); Indexed Pages 23/28/39-&gt;22/35/41 (GSC month-end); query-level rows are FLOORS because GSC anonymises rare queries (the Jul export holds 115 of 267 clicks). Organic Conversions intentionally left blank pending Cedric: '2 bookings' is ambiguous between 2 total across 3 months and ~2/month.</t>
        </is>
      </c>
    </row>
  </sheetData>
  <mergeCells count="1">
    <mergeCell ref="A28:H28"/>
  </mergeCells>
  <conditionalFormatting sqref="H5:H9">
    <cfRule type="cellIs" priority="1" operator="greaterThan" dxfId="2">
      <formula>0</formula>
    </cfRule>
    <cfRule type="cellIs" priority="2" operator="lessThan" dxfId="1">
      <formula>0</formula>
    </cfRule>
  </conditionalFormatting>
  <conditionalFormatting sqref="H11:H13">
    <cfRule type="cellIs" priority="11" operator="greaterThan" dxfId="2">
      <formula>0</formula>
    </cfRule>
    <cfRule type="cellIs" priority="12" operator="lessThan" dxfId="1">
      <formula>0</formula>
    </cfRule>
  </conditionalFormatting>
  <conditionalFormatting sqref="H14">
    <cfRule type="cellIs" priority="17" operator="greaterThan" dxfId="1">
      <formula>0</formula>
    </cfRule>
    <cfRule type="cellIs" priority="18" operator="lessThan" dxfId="2">
      <formula>0</formula>
    </cfRule>
  </conditionalFormatting>
  <conditionalFormatting sqref="H16:H19">
    <cfRule type="cellIs" priority="19" operator="greaterThan" dxfId="2">
      <formula>0</formula>
    </cfRule>
    <cfRule type="cellIs" priority="20" operator="lessThan" dxfId="1">
      <formula>0</formula>
    </cfRule>
  </conditionalFormatting>
  <conditionalFormatting sqref="H22">
    <cfRule type="cellIs" priority="27" operator="greaterThan" dxfId="1">
      <formula>0</formula>
    </cfRule>
    <cfRule type="cellIs" priority="28" operator="lessThan" dxfId="2">
      <formula>0</formula>
    </cfRule>
  </conditionalFormatting>
  <conditionalFormatting sqref="H25:H26">
    <cfRule type="cellIs" priority="13" operator="greaterThan" dxfId="2">
      <formula>0</formula>
    </cfRule>
    <cfRule type="cellIs" priority="14" operator="lessThan" dxfId="1">
      <formula>0</formula>
    </cfRule>
  </conditionalFormatting>
  <conditionalFormatting sqref="H29">
    <cfRule type="cellIs" priority="13" operator="greaterThan" dxfId="13">
      <formula>0</formula>
    </cfRule>
    <cfRule type="cellIs" priority="14" operator="lessThan" dxfId="14">
      <formula>0</formula>
    </cfRule>
  </conditionalFormatting>
  <conditionalFormatting sqref="H30">
    <cfRule type="cellIs" priority="15" operator="greaterThan" dxfId="13">
      <formula>0</formula>
    </cfRule>
    <cfRule type="cellIs" priority="16" operator="lessThan" dxfId="14">
      <formula>0</formula>
    </cfRule>
  </conditionalFormatting>
  <conditionalFormatting sqref="H31">
    <cfRule type="cellIs" priority="17" operator="greaterThan" dxfId="13">
      <formula>0</formula>
    </cfRule>
    <cfRule type="cellIs" priority="18" operator="lessThan" dxfId="14">
      <formula>0</formula>
    </cfRule>
  </conditionalFormatting>
  <conditionalFormatting sqref="H32">
    <cfRule type="cellIs" priority="19" operator="greaterThan" dxfId="13">
      <formula>0</formula>
    </cfRule>
    <cfRule type="cellIs" priority="20" operator="lessThan" dxfId="14">
      <formula>0</formula>
    </cfRule>
  </conditionalFormatting>
  <conditionalFormatting sqref="H33">
    <cfRule type="cellIs" priority="21" operator="greaterThan" dxfId="14">
      <formula>0</formula>
    </cfRule>
    <cfRule type="cellIs" priority="22" operator="lessThan" dxfId="13">
      <formula>0</formula>
    </cfRule>
  </conditionalFormatting>
  <conditionalFormatting sqref="H34">
    <cfRule type="cellIs" priority="23" operator="greaterThan" dxfId="14">
      <formula>0</formula>
    </cfRule>
    <cfRule type="cellIs" priority="24" operator="lessThan" dxfId="13">
      <formula>0</formula>
    </cfRule>
  </conditionalFormatting>
  <conditionalFormatting sqref="H35">
    <cfRule type="cellIs" priority="25" operator="greaterThan" dxfId="13">
      <formula>0</formula>
    </cfRule>
    <cfRule type="cellIs" priority="26" operator="lessThan" dxfId="14">
      <formula>0</formula>
    </cfRule>
  </conditionalFormatting>
  <conditionalFormatting sqref="H36">
    <cfRule type="cellIs" priority="27" operator="greaterThan" dxfId="13">
      <formula>0</formula>
    </cfRule>
    <cfRule type="cellIs" priority="28" operator="lessThan" dxfId="14">
      <formula>0</formula>
    </cfRule>
  </conditionalFormatting>
  <conditionalFormatting sqref="H37">
    <cfRule type="cellIs" priority="29" operator="greaterThan" dxfId="13">
      <formula>0</formula>
    </cfRule>
    <cfRule type="cellIs" priority="30" operator="lessThan" dxfId="14">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0" zoomScale="210" zoomScaleNormal="210" workbookViewId="0">
      <pane xSplit="1" ySplit="3" topLeftCell="B4" activePane="bottomRight" state="frozen"/>
      <selection pane="topRight" activeCell="A1" sqref="A1"/>
      <selection pane="bottomLeft" activeCell="A1" sqref="A1"/>
      <selection pane="bottomRight" activeCell="B8" sqref="B8"/>
    </sheetView>
  </sheetViews>
  <sheetFormatPr baseColWidth="10" defaultColWidth="8.83203125" defaultRowHeight="15"/>
  <cols>
    <col width="40" customWidth="1" style="104" min="1" max="1"/>
    <col width="14" customWidth="1" style="104" min="2" max="2"/>
    <col width="16" customWidth="1" style="104" min="3" max="3"/>
    <col width="14" customWidth="1" style="104" min="4" max="4"/>
    <col width="13" customWidth="1" style="104" min="5" max="6"/>
  </cols>
  <sheetData>
    <row r="1" ht="21" customHeight="1" s="104">
      <c r="A1" s="51" t="inlineStr">
        <is>
          <t>Cluster KPIs - auto-rollup from Keyword Master</t>
        </is>
      </c>
    </row>
    <row r="2">
      <c r="A2" s="49" t="inlineStr">
        <is>
          <t>100% formula-driven. Reflects the latest 28-day snapshot pasted into Keyword Master - no manual entry here.</t>
        </is>
      </c>
    </row>
    <row r="3" ht="30" customHeight="1" s="104">
      <c r="A3" s="52" t="inlineStr">
        <is>
          <t>Cluster</t>
        </is>
      </c>
      <c r="B3" s="52" t="inlineStr">
        <is>
          <t>Clicks (28d)</t>
        </is>
      </c>
      <c r="C3" s="52" t="inlineStr">
        <is>
          <t>Impressions (28d)</t>
        </is>
      </c>
      <c r="D3" s="52" t="inlineStr">
        <is>
          <t>Avg Position</t>
        </is>
      </c>
      <c r="E3" s="52" t="inlineStr">
        <is>
          <t># Keywords</t>
        </is>
      </c>
      <c r="F3" s="52" t="inlineStr">
        <is>
          <t># in Top 10</t>
        </is>
      </c>
    </row>
    <row r="4">
      <c r="A4" s="54" t="inlineStr">
        <is>
          <t>Cluster 1 - Short-Term Rentals</t>
        </is>
      </c>
      <c r="B4" s="61">
        <f>SUMIF('Keyword Master'!$B$2:$B$83,A4,'Keyword Master'!$N$2:$N$83)</f>
        <v/>
      </c>
      <c r="C4" s="61">
        <f>SUMIF('Keyword Master'!$B$2:$B$83,A4,'Keyword Master'!$M$2:$M$83)</f>
        <v/>
      </c>
      <c r="D4" s="66">
        <f>IFERROR(AVERAGEIFS('Keyword Master'!$K$2:$K$83,'Keyword Master'!$B$2:$B$83,A4,'Keyword Master'!$K$2:$K$83,"&gt;0"),"-")</f>
        <v/>
      </c>
      <c r="E4" s="65">
        <f>COUNTIF('Keyword Master'!$B$2:$B$83,A4)</f>
        <v/>
      </c>
      <c r="F4" s="65">
        <f>COUNTIFS('Keyword Master'!$B$2:$B$83,A4,'Keyword Master'!$K$2:$K$83,"&gt;0",'Keyword Master'!$K$2:$K$83,"&lt;=10")</f>
        <v/>
      </c>
    </row>
    <row r="5">
      <c r="A5" s="67" t="inlineStr">
        <is>
          <t>Cluster 2 - Things to Do in Lipa</t>
        </is>
      </c>
      <c r="B5" s="68">
        <f>SUMIF('Keyword Master'!$B$2:$B$83,A5,'Keyword Master'!$N$2:$N$83)</f>
        <v/>
      </c>
      <c r="C5" s="68">
        <f>SUMIF('Keyword Master'!$B$2:$B$83,A5,'Keyword Master'!$M$2:$M$83)</f>
        <v/>
      </c>
      <c r="D5" s="69">
        <f>IFERROR(AVERAGEIFS('Keyword Master'!$K$2:$K$83,'Keyword Master'!$B$2:$B$83,A5,'Keyword Master'!$K$2:$K$83,"&gt;0"),"-")</f>
        <v/>
      </c>
      <c r="E5" s="70">
        <f>COUNTIF('Keyword Master'!$B$2:$B$83,A5)</f>
        <v/>
      </c>
      <c r="F5" s="70">
        <f>COUNTIFS('Keyword Master'!$B$2:$B$83,A5,'Keyword Master'!$K$2:$K$83,"&gt;0",'Keyword Master'!$K$2:$K$83,"&lt;=10")</f>
        <v/>
      </c>
    </row>
    <row r="6">
      <c r="A6" s="54" t="inlineStr">
        <is>
          <t>Cluster 3 - Weekend Getaway / Audience</t>
        </is>
      </c>
      <c r="B6" s="61">
        <f>SUMIF('Keyword Master'!$B$2:$B$83,A6,'Keyword Master'!$N$2:$N$83)</f>
        <v/>
      </c>
      <c r="C6" s="61">
        <f>SUMIF('Keyword Master'!$B$2:$B$83,A6,'Keyword Master'!$M$2:$M$83)</f>
        <v/>
      </c>
      <c r="D6" s="66">
        <f>IFERROR(AVERAGEIFS('Keyword Master'!$K$2:$K$83,'Keyword Master'!$B$2:$B$83,A6,'Keyword Master'!$K$2:$K$83,"&gt;0"),"-")</f>
        <v/>
      </c>
      <c r="E6" s="65">
        <f>COUNTIF('Keyword Master'!$B$2:$B$83,A6)</f>
        <v/>
      </c>
      <c r="F6" s="65">
        <f>COUNTIFS('Keyword Master'!$B$2:$B$83,A6,'Keyword Master'!$K$2:$K$83,"&gt;0",'Keyword Master'!$K$2:$K$83,"&lt;=10")</f>
        <v/>
      </c>
    </row>
    <row r="7">
      <c r="A7" s="67" t="inlineStr">
        <is>
          <t>Cluster 4 - Travel Planning &amp; Logistics</t>
        </is>
      </c>
      <c r="B7" s="68">
        <f>SUMIF('Keyword Master'!$B$2:$B$83,A7,'Keyword Master'!$N$2:$N$83)</f>
        <v/>
      </c>
      <c r="C7" s="68">
        <f>SUMIF('Keyword Master'!$B$2:$B$83,A7,'Keyword Master'!$M$2:$M$83)</f>
        <v/>
      </c>
      <c r="D7" s="69">
        <f>IFERROR(AVERAGEIFS('Keyword Master'!$K$2:$K$83,'Keyword Master'!$B$2:$B$83,A7,'Keyword Master'!$K$2:$K$83,"&gt;0"),"-")</f>
        <v/>
      </c>
      <c r="E7" s="70">
        <f>COUNTIF('Keyword Master'!$B$2:$B$83,A7)</f>
        <v/>
      </c>
      <c r="F7" s="70">
        <f>COUNTIFS('Keyword Master'!$B$2:$B$83,A7,'Keyword Master'!$K$2:$K$83,"&gt;0",'Keyword Master'!$K$2:$K$83,"&lt;=10")</f>
        <v/>
      </c>
    </row>
    <row r="8">
      <c r="A8" s="54" t="inlineStr">
        <is>
          <t>Cluster 5 - Direct Booking &amp; Value</t>
        </is>
      </c>
      <c r="B8" s="61">
        <f>SUMIF('Keyword Master'!$B$2:$B$83,A8,'Keyword Master'!$N$2:$N$83)</f>
        <v/>
      </c>
      <c r="C8" s="61">
        <f>SUMIF('Keyword Master'!$B$2:$B$83,A8,'Keyword Master'!$M$2:$M$83)</f>
        <v/>
      </c>
      <c r="D8" s="66">
        <f>IFERROR(AVERAGEIFS('Keyword Master'!$K$2:$K$83,'Keyword Master'!$B$2:$B$83,A8,'Keyword Master'!$K$2:$K$83,"&gt;0"),"-")</f>
        <v/>
      </c>
      <c r="E8" s="65">
        <f>COUNTIF('Keyword Master'!$B$2:$B$83,A8)</f>
        <v/>
      </c>
      <c r="F8" s="65">
        <f>COUNTIFS('Keyword Master'!$B$2:$B$83,A8,'Keyword Master'!$K$2:$K$83,"&gt;0",'Keyword Master'!$K$2:$K$83,"&lt;=10")</f>
        <v/>
      </c>
    </row>
    <row r="9">
      <c r="A9" s="67" t="inlineStr">
        <is>
          <t>Cluster 6 - Branded / Property</t>
        </is>
      </c>
      <c r="B9" s="68">
        <f>SUMIF('Keyword Master'!$B$2:$B$83,A9,'Keyword Master'!$N$2:$N$83)</f>
        <v/>
      </c>
      <c r="C9" s="68">
        <f>SUMIF('Keyword Master'!$B$2:$B$83,A9,'Keyword Master'!$M$2:$M$83)</f>
        <v/>
      </c>
      <c r="D9" s="69">
        <f>IFERROR(AVERAGEIFS('Keyword Master'!$K$2:$K$83,'Keyword Master'!$B$2:$B$83,A9,'Keyword Master'!$K$2:$K$83,"&gt;0"),"-")</f>
        <v/>
      </c>
      <c r="E9" s="70">
        <f>COUNTIF('Keyword Master'!$B$2:$B$83,A9)</f>
        <v/>
      </c>
      <c r="F9" s="70">
        <f>COUNTIFS('Keyword Master'!$B$2:$B$83,A9,'Keyword Master'!$K$2:$K$83,"&gt;0",'Keyword Master'!$K$2:$K$83,"&lt;=10")</f>
        <v/>
      </c>
    </row>
    <row r="10">
      <c r="A10" s="53" t="inlineStr">
        <is>
          <t>TOTAL / All clusters</t>
        </is>
      </c>
      <c r="B10" s="71">
        <f>SUM(B4:B9)</f>
        <v/>
      </c>
      <c r="C10" s="71">
        <f>SUM(C4:C9)</f>
        <v/>
      </c>
      <c r="D10" s="72">
        <f>IFERROR(AVERAGEIFS('Keyword Master'!$K$2:$K$83,'Keyword Master'!$K$2:$K$83,"&gt;0"),"-")</f>
        <v/>
      </c>
      <c r="E10" s="73">
        <f>SUM(E4:E9)</f>
        <v/>
      </c>
      <c r="F10" s="73">
        <f>SUM(F4:F9)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3"/>
  <sheetViews>
    <sheetView showGridLines="0" zoomScale="190" zoomScaleNormal="190" workbookViewId="0">
      <pane xSplit="1" ySplit="1" topLeftCell="B76" activePane="bottomRight" state="frozen"/>
      <selection pane="topRight" activeCell="B1" sqref="B1"/>
      <selection pane="bottomLeft" activeCell="A2" sqref="A2"/>
      <selection pane="bottomRight" activeCell="A66" sqref="A66"/>
    </sheetView>
  </sheetViews>
  <sheetFormatPr baseColWidth="10" defaultColWidth="8.83203125" defaultRowHeight="15"/>
  <cols>
    <col width="34" customWidth="1" style="104" min="1" max="1"/>
    <col width="32" customWidth="1" style="104" min="2" max="2"/>
    <col width="14" customWidth="1" style="104" min="3" max="3"/>
    <col width="11" customWidth="1" style="104" min="4" max="4"/>
    <col width="12" customWidth="1" style="104" min="5" max="5"/>
    <col width="38" customWidth="1" style="104" min="6" max="6"/>
    <col width="13" customWidth="1" style="43" min="7" max="7"/>
    <col width="16.1640625" customWidth="1" style="104" min="8" max="8"/>
    <col width="30" customWidth="1" style="104" min="9" max="9"/>
    <col width="22" customWidth="1" style="104" min="10" max="10"/>
    <col width="13" customWidth="1" style="104" min="11" max="11"/>
    <col width="18" customWidth="1" style="104" min="12" max="12"/>
    <col width="13" customWidth="1" style="104" min="13" max="13"/>
    <col width="12" customWidth="1" style="104" min="14" max="14"/>
    <col width="10" customWidth="1" style="104" min="15" max="15"/>
    <col width="14" customWidth="1" style="104" min="16" max="16"/>
    <col width="36" customWidth="1" style="104" min="17" max="17"/>
  </cols>
  <sheetData>
    <row r="1" ht="38" customHeight="1" s="104">
      <c r="A1" s="6" t="inlineStr">
        <is>
          <t>Keyword / Keyphrase</t>
        </is>
      </c>
      <c r="B1" s="6" t="inlineStr">
        <is>
          <t>Cluster</t>
        </is>
      </c>
      <c r="C1" s="6" t="inlineStr">
        <is>
          <t>Search Intent</t>
        </is>
      </c>
      <c r="D1" s="6" t="inlineStr">
        <is>
          <t>Priority</t>
        </is>
      </c>
      <c r="E1" s="76" t="inlineStr">
        <is>
          <t>Role</t>
        </is>
      </c>
      <c r="F1" s="6" t="inlineStr">
        <is>
          <t>Target URL / Page</t>
        </is>
      </c>
      <c r="G1" s="45" t="inlineStr">
        <is>
          <t>Confirmed Live Slug</t>
        </is>
      </c>
      <c r="H1" s="41" t="inlineStr">
        <is>
          <t>Article</t>
        </is>
      </c>
      <c r="I1" s="6" t="inlineStr">
        <is>
          <t>Status</t>
        </is>
      </c>
      <c r="J1" s="6" t="inlineStr">
        <is>
          <t>GSC Tracked? (Y/N)</t>
        </is>
      </c>
      <c r="K1" s="6" t="inlineStr">
        <is>
          <t>Current Avg. Position</t>
        </is>
      </c>
      <c r="L1" s="76" t="inlineStr">
        <is>
          <t>Striking Distance?</t>
        </is>
      </c>
      <c r="M1" s="6" t="inlineStr">
        <is>
          <t>Impressions (28d)</t>
        </is>
      </c>
      <c r="N1" s="6" t="inlineStr">
        <is>
          <t>Clicks (28d)</t>
        </is>
      </c>
      <c r="O1" s="6" t="inlineStr">
        <is>
          <t>CTR %</t>
        </is>
      </c>
      <c r="P1" s="6" t="inlineStr">
        <is>
          <t>Last Reviewed</t>
        </is>
      </c>
      <c r="Q1" s="6" t="inlineStr">
        <is>
          <t>Notes</t>
        </is>
      </c>
    </row>
    <row r="2" ht="28" customHeight="1" s="104">
      <c r="A2" s="9" t="inlineStr">
        <is>
          <t>things to do in lipa city</t>
        </is>
      </c>
      <c r="B2" s="9" t="inlineStr">
        <is>
          <t>Cluster 2 - Things to Do in Lipa</t>
        </is>
      </c>
      <c r="C2" s="9" t="inlineStr">
        <is>
          <t>Informational</t>
        </is>
      </c>
      <c r="D2" s="8" t="inlineStr">
        <is>
          <t>High</t>
        </is>
      </c>
      <c r="E2" s="77" t="inlineStr">
        <is>
          <t>Primary</t>
        </is>
      </c>
      <c r="F2" s="9" t="inlineStr">
        <is>
          <t>https://blog.haveninlipa.com/15-best-things-to-do-in-lipa-city-batangas-2026-locals-guide/</t>
        </is>
      </c>
      <c r="G2" s="35" t="inlineStr">
        <is>
          <t>https://blog.haveninlipa.com/15-best-things-to-do-in-lipa-city-batangas-2026-locals-guide/</t>
        </is>
      </c>
      <c r="H2" s="44" t="n">
        <v>1</v>
      </c>
      <c r="I2" s="7" t="inlineStr">
        <is>
          <t>Published</t>
        </is>
      </c>
      <c r="J2" s="9" t="inlineStr">
        <is>
          <t>Y</t>
        </is>
      </c>
      <c r="K2" s="9" t="n">
        <v>17.9</v>
      </c>
      <c r="L2" s="79">
        <f>IF(AND(K2&gt;=11,K2&lt;=20),"Striking distance","")</f>
        <v/>
      </c>
      <c r="M2" s="9" t="n">
        <v>167</v>
      </c>
      <c r="N2" s="9" t="n">
        <v>0</v>
      </c>
      <c r="O2" s="9" t="n">
        <v>0</v>
      </c>
      <c r="P2" s="16" t="n">
        <v>46244</v>
      </c>
      <c r="Q2" s="9" t="inlineStr">
        <is>
          <t>Target URL synced to live slug + confirmed indexed (GSC) 2026-06-02.</t>
        </is>
      </c>
    </row>
    <row r="3" ht="28" customHeight="1" s="104">
      <c r="A3" s="7" t="inlineStr">
        <is>
          <t>lipa city tourist spots</t>
        </is>
      </c>
      <c r="B3" s="7" t="inlineStr">
        <is>
          <t>Cluster 2 - Things to Do in Lipa</t>
        </is>
      </c>
      <c r="C3" s="7" t="inlineStr">
        <is>
          <t>Informational</t>
        </is>
      </c>
      <c r="D3" s="8" t="inlineStr">
        <is>
          <t>High</t>
        </is>
      </c>
      <c r="E3" s="78" t="inlineStr">
        <is>
          <t>Secondary</t>
        </is>
      </c>
      <c r="F3" s="7" t="inlineStr">
        <is>
          <t>https://blog.haveninlipa.com/15-best-things-to-do-in-lipa-city-batangas-2026-locals-guide/</t>
        </is>
      </c>
      <c r="G3" s="34" t="inlineStr">
        <is>
          <t>https://blog.haveninlipa.com/15-best-things-to-do-in-lipa-city-batangas-2026-locals-guide/</t>
        </is>
      </c>
      <c r="H3" s="44" t="n">
        <v>1</v>
      </c>
      <c r="I3" s="7" t="inlineStr">
        <is>
          <t>Published</t>
        </is>
      </c>
      <c r="J3" s="7" t="inlineStr">
        <is>
          <t>Y</t>
        </is>
      </c>
      <c r="K3" s="7" t="n">
        <v>0</v>
      </c>
      <c r="L3" s="78">
        <f>IF(AND(K3&gt;=11,K3&lt;=20),"Striking distance","")</f>
        <v/>
      </c>
      <c r="M3" s="7" t="n">
        <v>0</v>
      </c>
      <c r="N3" s="7" t="n">
        <v>0</v>
      </c>
      <c r="O3" s="7" t="n">
        <v>0</v>
      </c>
      <c r="P3" s="16" t="n">
        <v>46244</v>
      </c>
      <c r="Q3" s="7" t="inlineStr">
        <is>
          <t>Target URL synced to live slug + confirmed indexed (GSC) 2026-06-02.</t>
        </is>
      </c>
    </row>
    <row r="4" ht="28" customHeight="1" s="104">
      <c r="A4" s="9" t="inlineStr">
        <is>
          <t>lipa batangas attractions</t>
        </is>
      </c>
      <c r="B4" s="9" t="inlineStr">
        <is>
          <t>Cluster 2 - Things to Do in Lipa</t>
        </is>
      </c>
      <c r="C4" s="9" t="inlineStr">
        <is>
          <t>Informational</t>
        </is>
      </c>
      <c r="D4" s="10" t="inlineStr">
        <is>
          <t>Medium</t>
        </is>
      </c>
      <c r="E4" s="79" t="inlineStr">
        <is>
          <t>Secondary</t>
        </is>
      </c>
      <c r="F4" s="9" t="inlineStr">
        <is>
          <t>https://blog.haveninlipa.com/15-best-things-to-do-in-lipa-city-batangas-2026-locals-guide/</t>
        </is>
      </c>
      <c r="G4" s="35" t="inlineStr">
        <is>
          <t>https://blog.haveninlipa.com/15-best-things-to-do-in-lipa-city-batangas-2026-locals-guide/</t>
        </is>
      </c>
      <c r="H4" s="44" t="n">
        <v>1</v>
      </c>
      <c r="I4" s="7" t="inlineStr">
        <is>
          <t>Published</t>
        </is>
      </c>
      <c r="J4" s="9" t="inlineStr">
        <is>
          <t>Y</t>
        </is>
      </c>
      <c r="K4" s="9" t="n">
        <v>0</v>
      </c>
      <c r="L4" s="79">
        <f>IF(AND(K4&gt;=11,K4&lt;=20),"Striking distance","")</f>
        <v/>
      </c>
      <c r="M4" s="9" t="n">
        <v>0</v>
      </c>
      <c r="N4" s="9" t="n">
        <v>0</v>
      </c>
      <c r="O4" s="9" t="n">
        <v>0</v>
      </c>
      <c r="P4" s="16" t="n">
        <v>46244</v>
      </c>
      <c r="Q4" s="9" t="inlineStr">
        <is>
          <t>Target URL synced to live slug + confirmed indexed (GSC) 2026-06-02.</t>
        </is>
      </c>
    </row>
    <row r="5" ht="28" customHeight="1" s="104">
      <c r="A5" s="7" t="inlineStr">
        <is>
          <t>weekend getaway near manila</t>
        </is>
      </c>
      <c r="B5" s="7" t="inlineStr">
        <is>
          <t>Cluster 3 - Weekend Getaway / Audience</t>
        </is>
      </c>
      <c r="C5" s="7" t="inlineStr">
        <is>
          <t>Mixed</t>
        </is>
      </c>
      <c r="D5" s="8" t="inlineStr">
        <is>
          <t>High</t>
        </is>
      </c>
      <c r="E5" s="80" t="inlineStr">
        <is>
          <t>Primary</t>
        </is>
      </c>
      <c r="F5" s="7" t="inlineStr">
        <is>
          <t>https://blog.haveninlipa.com/weekend-getaway-in-lipa-city-batangas-your-chill-escape-near-manila/</t>
        </is>
      </c>
      <c r="G5" s="34" t="inlineStr">
        <is>
          <t>https://blog.haveninlipa.com/weekend-getaway-in-lipa-city-batangas-your-chill-escape-near-manila/</t>
        </is>
      </c>
      <c r="H5" s="44" t="n">
        <v>3</v>
      </c>
      <c r="I5" s="7" t="inlineStr">
        <is>
          <t>Published</t>
        </is>
      </c>
      <c r="J5" s="7" t="inlineStr">
        <is>
          <t>Y</t>
        </is>
      </c>
      <c r="K5" s="7" t="n">
        <v>11</v>
      </c>
      <c r="L5" s="78">
        <f>IF(AND(K5&gt;=11,K5&lt;=20),"Striking distance","")</f>
        <v/>
      </c>
      <c r="M5" s="7" t="n">
        <v>1</v>
      </c>
      <c r="N5" s="7" t="n">
        <v>0</v>
      </c>
      <c r="O5" s="7" t="n">
        <v>0</v>
      </c>
      <c r="P5" s="15" t="n">
        <v>46244</v>
      </c>
      <c r="Q5" s="7" t="inlineStr">
        <is>
          <t>Target URL synced to live slug + confirmed indexed (GSC) 2026-06-02.</t>
        </is>
      </c>
    </row>
    <row r="6" ht="28" customHeight="1" s="104">
      <c r="A6" s="7" t="inlineStr">
        <is>
          <t>mt maculot hiking guide</t>
        </is>
      </c>
      <c r="B6" s="7" t="inlineStr">
        <is>
          <t>Cluster 2 - Things to Do in Lipa</t>
        </is>
      </c>
      <c r="C6" s="7" t="inlineStr">
        <is>
          <t>Informational</t>
        </is>
      </c>
      <c r="D6" s="10" t="inlineStr">
        <is>
          <t>Medium</t>
        </is>
      </c>
      <c r="E6" s="80" t="inlineStr">
        <is>
          <t>Primary</t>
        </is>
      </c>
      <c r="F6" s="7" t="inlineStr">
        <is>
          <t>https://blog.haveninlipa.com/mt-maculot-hiking-guide-2026-trail-tips-routes-where-to-stay-in-lipa/</t>
        </is>
      </c>
      <c r="G6" s="34" t="inlineStr">
        <is>
          <t>https://blog.haveninlipa.com/mt-maculot-hiking-guide-2026-trail-tips-routes-where-to-stay-in-lipa/</t>
        </is>
      </c>
      <c r="H6" s="44" t="n">
        <v>4</v>
      </c>
      <c r="I6" s="7" t="inlineStr">
        <is>
          <t>Published</t>
        </is>
      </c>
      <c r="J6" s="7" t="inlineStr">
        <is>
          <t>Y</t>
        </is>
      </c>
      <c r="K6" s="7" t="n">
        <v>0</v>
      </c>
      <c r="L6" s="78">
        <f>IF(AND(K6&gt;=11,K6&lt;=20),"Striking distance","")</f>
        <v/>
      </c>
      <c r="M6" s="7" t="n">
        <v>0</v>
      </c>
      <c r="N6" s="7" t="n">
        <v>0</v>
      </c>
      <c r="O6" s="7" t="n">
        <v>0</v>
      </c>
      <c r="P6" s="15" t="n">
        <v>46244</v>
      </c>
      <c r="Q6" s="7" t="inlineStr">
        <is>
          <t>Target URL synced to live slug + confirmed indexed (GSC) 2026-06-02.</t>
        </is>
      </c>
    </row>
    <row r="7" ht="28" customHeight="1" s="104">
      <c r="A7" s="9" t="inlineStr">
        <is>
          <t>best restaurants in lipa</t>
        </is>
      </c>
      <c r="B7" s="9" t="inlineStr">
        <is>
          <t>Cluster 4 - Travel Planning &amp; Logistics</t>
        </is>
      </c>
      <c r="C7" s="9" t="inlineStr">
        <is>
          <t>Informational</t>
        </is>
      </c>
      <c r="D7" s="8" t="inlineStr">
        <is>
          <t>High</t>
        </is>
      </c>
      <c r="E7" s="77" t="inlineStr">
        <is>
          <t>Primary</t>
        </is>
      </c>
      <c r="F7" s="9" t="inlineStr">
        <is>
          <t>https://blog.haveninlipa.com/best-restaurants-cafes-in-lipa-city-batangas-2026-food-guide/</t>
        </is>
      </c>
      <c r="G7" s="35" t="inlineStr">
        <is>
          <t>https://blog.haveninlipa.com/best-restaurants-cafes-in-lipa-city-batangas-2026-food-guide/</t>
        </is>
      </c>
      <c r="H7" s="44" t="n">
        <v>5</v>
      </c>
      <c r="I7" s="7" t="inlineStr">
        <is>
          <t>Published</t>
        </is>
      </c>
      <c r="J7" s="9" t="inlineStr">
        <is>
          <t>Y</t>
        </is>
      </c>
      <c r="K7" s="9" t="n">
        <v>5.1</v>
      </c>
      <c r="L7" s="79">
        <f>IF(AND(K7&gt;=11,K7&lt;=20),"Striking distance","")</f>
        <v/>
      </c>
      <c r="M7" s="9" t="n">
        <v>335</v>
      </c>
      <c r="N7" s="9" t="n">
        <v>16</v>
      </c>
      <c r="O7" s="86" t="n">
        <v>0.048</v>
      </c>
      <c r="P7" s="15" t="n">
        <v>46244</v>
      </c>
      <c r="Q7" s="9" t="inlineStr">
        <is>
          <t>Target URL synced to live slug + confirmed indexed (GSC) 2026-06-02.</t>
        </is>
      </c>
    </row>
    <row r="8" ht="28" customHeight="1" s="104">
      <c r="A8" s="9" t="inlineStr">
        <is>
          <t>lipa city food trip</t>
        </is>
      </c>
      <c r="B8" s="9" t="inlineStr">
        <is>
          <t>Cluster 4 - Travel Planning &amp; Logistics</t>
        </is>
      </c>
      <c r="C8" s="9" t="inlineStr">
        <is>
          <t>Informational</t>
        </is>
      </c>
      <c r="D8" s="10" t="inlineStr">
        <is>
          <t>Medium</t>
        </is>
      </c>
      <c r="E8" s="79" t="inlineStr">
        <is>
          <t>Secondary</t>
        </is>
      </c>
      <c r="F8" s="9" t="inlineStr">
        <is>
          <t>https://blog.haveninlipa.com/best-restaurants-cafes-in-lipa-city-batangas-2026-food-guide/</t>
        </is>
      </c>
      <c r="G8" s="35" t="inlineStr">
        <is>
          <t>https://blog.haveninlipa.com/best-restaurants-cafes-in-lipa-city-batangas-2026-food-guide/</t>
        </is>
      </c>
      <c r="H8" s="44" t="n">
        <v>5</v>
      </c>
      <c r="I8" s="7" t="inlineStr">
        <is>
          <t>Published</t>
        </is>
      </c>
      <c r="J8" s="9" t="inlineStr">
        <is>
          <t>Y</t>
        </is>
      </c>
      <c r="K8" s="9" t="n">
        <v>0</v>
      </c>
      <c r="L8" s="79">
        <f>IF(AND(K8&gt;=11,K8&lt;=20),"Striking distance","")</f>
        <v/>
      </c>
      <c r="M8" s="9" t="n">
        <v>0</v>
      </c>
      <c r="N8" s="9" t="n">
        <v>0</v>
      </c>
      <c r="O8" s="9" t="n">
        <v>0</v>
      </c>
      <c r="P8" s="15" t="n">
        <v>46244</v>
      </c>
      <c r="Q8" s="9" t="inlineStr">
        <is>
          <t>Target URL synced to live slug + confirmed indexed (GSC) 2026-06-02.</t>
        </is>
      </c>
    </row>
    <row r="9" ht="28" customHeight="1" s="104">
      <c r="A9" s="7" t="inlineStr">
        <is>
          <t>airbnb alternative lipa</t>
        </is>
      </c>
      <c r="B9" s="7" t="inlineStr">
        <is>
          <t>Cluster 1 - Short-Term Rentals</t>
        </is>
      </c>
      <c r="C9" s="7" t="inlineStr">
        <is>
          <t>Transactional</t>
        </is>
      </c>
      <c r="D9" s="8" t="inlineStr">
        <is>
          <t>High</t>
        </is>
      </c>
      <c r="E9" s="80" t="inlineStr">
        <is>
          <t>Primary</t>
        </is>
      </c>
      <c r="F9" s="7" t="inlineStr">
        <is>
          <t>https://blog.haveninlipa.com/why-book-direct-instead-of-airbnb-a-philippines-hosts-honest-take/</t>
        </is>
      </c>
      <c r="G9" s="34" t="inlineStr">
        <is>
          <t>https://blog.haveninlipa.com/why-book-direct-instead-of-airbnb-a-philippines-hosts-honest-take/</t>
        </is>
      </c>
      <c r="H9" s="44" t="n">
        <v>6</v>
      </c>
      <c r="I9" s="7" t="inlineStr">
        <is>
          <t>Published</t>
        </is>
      </c>
      <c r="J9" s="7" t="inlineStr">
        <is>
          <t>Y</t>
        </is>
      </c>
      <c r="K9" s="7" t="n">
        <v>0</v>
      </c>
      <c r="L9" s="78">
        <f>IF(AND(K9&gt;=11,K9&lt;=20),"Striking distance","")</f>
        <v/>
      </c>
      <c r="M9" s="7" t="n">
        <v>0</v>
      </c>
      <c r="N9" s="7" t="n">
        <v>0</v>
      </c>
      <c r="O9" s="7" t="n">
        <v>0</v>
      </c>
      <c r="P9" s="15" t="n">
        <v>46244</v>
      </c>
      <c r="Q9" s="7" t="inlineStr">
        <is>
          <t>Target URL synced to live slug + confirmed indexed (GSC) 2026-06-02.</t>
        </is>
      </c>
    </row>
    <row r="10" ht="28" customHeight="1" s="104">
      <c r="A10" s="7" t="inlineStr">
        <is>
          <t>direct booking lipa city</t>
        </is>
      </c>
      <c r="B10" s="7" t="inlineStr">
        <is>
          <t>Cluster 1 - Short-Term Rentals</t>
        </is>
      </c>
      <c r="C10" s="7" t="inlineStr">
        <is>
          <t>Commercial</t>
        </is>
      </c>
      <c r="D10" s="10" t="inlineStr">
        <is>
          <t>Medium</t>
        </is>
      </c>
      <c r="E10" s="78" t="inlineStr">
        <is>
          <t>Secondary</t>
        </is>
      </c>
      <c r="F10" s="7" t="inlineStr">
        <is>
          <t>https://blog.haveninlipa.com/why-book-direct-instead-of-airbnb-a-philippines-hosts-honest-take/</t>
        </is>
      </c>
      <c r="G10" s="34" t="inlineStr">
        <is>
          <t>https://blog.haveninlipa.com/why-book-direct-instead-of-airbnb-a-philippines-hosts-honest-take/</t>
        </is>
      </c>
      <c r="H10" s="44" t="n">
        <v>6</v>
      </c>
      <c r="I10" s="7" t="inlineStr">
        <is>
          <t>Published</t>
        </is>
      </c>
      <c r="J10" s="7" t="inlineStr">
        <is>
          <t>Y</t>
        </is>
      </c>
      <c r="K10" s="7" t="n">
        <v>0</v>
      </c>
      <c r="L10" s="78">
        <f>IF(AND(K10&gt;=11,K10&lt;=20),"Striking distance","")</f>
        <v/>
      </c>
      <c r="M10" s="7" t="n">
        <v>0</v>
      </c>
      <c r="N10" s="7" t="n">
        <v>0</v>
      </c>
      <c r="O10" s="7" t="n">
        <v>0</v>
      </c>
      <c r="P10" s="15" t="n">
        <v>46244</v>
      </c>
      <c r="Q10" s="7" t="inlineStr">
        <is>
          <t>Target URL synced to live slug + confirmed indexed (GSC) 2026-06-02.</t>
        </is>
      </c>
    </row>
    <row r="11" ht="28" customHeight="1" s="104">
      <c r="A11" s="9" t="inlineStr">
        <is>
          <t>book direct vs airbnb</t>
        </is>
      </c>
      <c r="B11" s="9" t="inlineStr">
        <is>
          <t>Cluster 5 - Direct Booking &amp; Value</t>
        </is>
      </c>
      <c r="C11" s="9" t="inlineStr">
        <is>
          <t>Commercial</t>
        </is>
      </c>
      <c r="D11" s="8" t="inlineStr">
        <is>
          <t>High</t>
        </is>
      </c>
      <c r="E11" s="79" t="inlineStr">
        <is>
          <t>Secondary</t>
        </is>
      </c>
      <c r="F11" s="9" t="inlineStr">
        <is>
          <t>https://blog.haveninlipa.com/why-book-direct-instead-of-airbnb-a-philippines-hosts-honest-take/</t>
        </is>
      </c>
      <c r="G11" s="35" t="inlineStr">
        <is>
          <t>https://blog.haveninlipa.com/why-book-direct-instead-of-airbnb-a-philippines-hosts-honest-take/</t>
        </is>
      </c>
      <c r="H11" s="44" t="n">
        <v>6</v>
      </c>
      <c r="I11" s="7" t="inlineStr">
        <is>
          <t>Published</t>
        </is>
      </c>
      <c r="J11" s="9" t="inlineStr">
        <is>
          <t>Y</t>
        </is>
      </c>
      <c r="K11" s="9" t="n">
        <v>0</v>
      </c>
      <c r="L11" s="79">
        <f>IF(AND(K11&gt;=11,K11&lt;=20),"Striking distance","")</f>
        <v/>
      </c>
      <c r="M11" s="9" t="n">
        <v>0</v>
      </c>
      <c r="N11" s="9" t="n">
        <v>0</v>
      </c>
      <c r="O11" s="9" t="n">
        <v>0</v>
      </c>
      <c r="P11" s="15" t="n">
        <v>46244</v>
      </c>
      <c r="Q11" s="9" t="inlineStr">
        <is>
          <t>Target URL synced to live slug + confirmed indexed (GSC) 2026-06-02.</t>
        </is>
      </c>
    </row>
    <row r="12" ht="28" customHeight="1" s="104">
      <c r="A12" s="7" t="inlineStr">
        <is>
          <t>save on vacation rental fees</t>
        </is>
      </c>
      <c r="B12" s="7" t="inlineStr">
        <is>
          <t>Cluster 5 - Direct Booking &amp; Value</t>
        </is>
      </c>
      <c r="C12" s="7" t="inlineStr">
        <is>
          <t>Commercial</t>
        </is>
      </c>
      <c r="D12" s="10" t="inlineStr">
        <is>
          <t>Medium</t>
        </is>
      </c>
      <c r="E12" s="78" t="inlineStr">
        <is>
          <t>Secondary</t>
        </is>
      </c>
      <c r="F12" s="7" t="inlineStr">
        <is>
          <t>https://blog.haveninlipa.com/why-book-direct-instead-of-airbnb-a-philippines-hosts-honest-take/</t>
        </is>
      </c>
      <c r="G12" s="34" t="inlineStr">
        <is>
          <t>https://blog.haveninlipa.com/why-book-direct-instead-of-airbnb-a-philippines-hosts-honest-take/</t>
        </is>
      </c>
      <c r="H12" s="44" t="n">
        <v>6</v>
      </c>
      <c r="I12" s="7" t="inlineStr">
        <is>
          <t>Published</t>
        </is>
      </c>
      <c r="J12" s="7" t="inlineStr">
        <is>
          <t>Y</t>
        </is>
      </c>
      <c r="K12" s="7" t="n">
        <v>0</v>
      </c>
      <c r="L12" s="78">
        <f>IF(AND(K12&gt;=11,K12&lt;=20),"Striking distance","")</f>
        <v/>
      </c>
      <c r="M12" s="7" t="n">
        <v>0</v>
      </c>
      <c r="N12" s="7" t="n">
        <v>0</v>
      </c>
      <c r="O12" s="7" t="n">
        <v>0</v>
      </c>
      <c r="P12" s="15" t="n">
        <v>46244</v>
      </c>
      <c r="Q12" s="7" t="inlineStr">
        <is>
          <t>Target URL synced to live slug + confirmed indexed (GSC) 2026-06-02.</t>
        </is>
      </c>
    </row>
    <row r="13" ht="28" customHeight="1" s="104">
      <c r="A13" s="9" t="inlineStr">
        <is>
          <t>why book direct accommodation</t>
        </is>
      </c>
      <c r="B13" s="9" t="inlineStr">
        <is>
          <t>Cluster 5 - Direct Booking &amp; Value</t>
        </is>
      </c>
      <c r="C13" s="9" t="inlineStr">
        <is>
          <t>Commercial</t>
        </is>
      </c>
      <c r="D13" s="10" t="inlineStr">
        <is>
          <t>Medium</t>
        </is>
      </c>
      <c r="E13" s="79" t="inlineStr">
        <is>
          <t>Secondary</t>
        </is>
      </c>
      <c r="F13" s="9" t="inlineStr">
        <is>
          <t>https://blog.haveninlipa.com/why-book-direct-instead-of-airbnb-a-philippines-hosts-honest-take/</t>
        </is>
      </c>
      <c r="G13" s="35" t="inlineStr">
        <is>
          <t>https://blog.haveninlipa.com/why-book-direct-instead-of-airbnb-a-philippines-hosts-honest-take/</t>
        </is>
      </c>
      <c r="H13" s="44" t="n">
        <v>6</v>
      </c>
      <c r="I13" s="7" t="inlineStr">
        <is>
          <t>Published</t>
        </is>
      </c>
      <c r="J13" s="9" t="inlineStr">
        <is>
          <t>Y</t>
        </is>
      </c>
      <c r="K13" s="9" t="n">
        <v>0</v>
      </c>
      <c r="L13" s="79">
        <f>IF(AND(K13&gt;=11,K13&lt;=20),"Striking distance","")</f>
        <v/>
      </c>
      <c r="M13" s="9" t="n">
        <v>0</v>
      </c>
      <c r="N13" s="9" t="n">
        <v>0</v>
      </c>
      <c r="O13" s="9" t="n">
        <v>0</v>
      </c>
      <c r="P13" s="15" t="n">
        <v>46244</v>
      </c>
      <c r="Q13" s="9" t="inlineStr">
        <is>
          <t>Target URL synced to live slug + confirmed indexed (GSC) 2026-06-02.</t>
        </is>
      </c>
    </row>
    <row r="14" ht="28" customHeight="1" s="104">
      <c r="A14" s="9" t="inlineStr">
        <is>
          <t>taal volcano day trip from lipa</t>
        </is>
      </c>
      <c r="B14" s="9" t="inlineStr">
        <is>
          <t>Cluster 2 - Things to Do in Lipa</t>
        </is>
      </c>
      <c r="C14" s="9" t="inlineStr">
        <is>
          <t>Informational</t>
        </is>
      </c>
      <c r="D14" s="10" t="inlineStr">
        <is>
          <t>Medium</t>
        </is>
      </c>
      <c r="E14" s="77" t="inlineStr">
        <is>
          <t>Primary</t>
        </is>
      </c>
      <c r="F14" s="9" t="inlineStr">
        <is>
          <t>https://blog.haveninlipa.com/taal-volcano-day-trip-from-lipa-city-2026-updated-guide/</t>
        </is>
      </c>
      <c r="G14" s="35" t="inlineStr">
        <is>
          <t>https://blog.haveninlipa.com/taal-volcano-day-trip-from-lipa-city-2026-updated-guide/</t>
        </is>
      </c>
      <c r="H14" s="44" t="n">
        <v>7</v>
      </c>
      <c r="I14" s="7" t="inlineStr">
        <is>
          <t>Published</t>
        </is>
      </c>
      <c r="J14" s="9" t="inlineStr">
        <is>
          <t>Y</t>
        </is>
      </c>
      <c r="K14" s="9" t="n">
        <v>0</v>
      </c>
      <c r="L14" s="79">
        <f>IF(AND(K14&gt;=11,K14&lt;=20),"Striking distance","")</f>
        <v/>
      </c>
      <c r="M14" s="9" t="n">
        <v>0</v>
      </c>
      <c r="N14" s="9" t="n">
        <v>0</v>
      </c>
      <c r="O14" s="9" t="n">
        <v>0</v>
      </c>
      <c r="P14" s="15" t="n">
        <v>46244</v>
      </c>
      <c r="Q14" s="9" t="inlineStr">
        <is>
          <t>Target URL synced to live slug + confirmed indexed (GSC) 2026-06-02.</t>
        </is>
      </c>
    </row>
    <row r="15" ht="28" customHeight="1" s="104">
      <c r="A15" s="7" t="inlineStr">
        <is>
          <t>holy week getaway lipa</t>
        </is>
      </c>
      <c r="B15" s="7" t="inlineStr">
        <is>
          <t>Cluster 3 - Weekend Getaway / Audience</t>
        </is>
      </c>
      <c r="C15" s="7" t="inlineStr">
        <is>
          <t>Seasonal</t>
        </is>
      </c>
      <c r="D15" s="10" t="inlineStr">
        <is>
          <t>Medium</t>
        </is>
      </c>
      <c r="E15" s="80" t="inlineStr">
        <is>
          <t>Primary</t>
        </is>
      </c>
      <c r="F15" s="7" t="inlineStr">
        <is>
          <t>https://blog.haveninlipa.com/holy-week-in-lipa-city-batangas-a-peaceful-retreat-near-manila/</t>
        </is>
      </c>
      <c r="G15" s="34" t="inlineStr">
        <is>
          <t>https://blog.haveninlipa.com/holy-week-in-lipa-city-batangas-a-peaceful-retreat-near-manila/</t>
        </is>
      </c>
      <c r="H15" s="44" t="n">
        <v>8</v>
      </c>
      <c r="I15" s="7" t="inlineStr">
        <is>
          <t>Published</t>
        </is>
      </c>
      <c r="J15" s="7" t="inlineStr">
        <is>
          <t>Y</t>
        </is>
      </c>
      <c r="K15" s="7" t="n">
        <v>0</v>
      </c>
      <c r="L15" s="78">
        <f>IF(AND(K15&gt;=11,K15&lt;=20),"Striking distance","")</f>
        <v/>
      </c>
      <c r="M15" s="7" t="n">
        <v>0</v>
      </c>
      <c r="N15" s="7" t="n">
        <v>0</v>
      </c>
      <c r="O15" s="7" t="n">
        <v>0</v>
      </c>
      <c r="P15" s="15" t="n">
        <v>46244</v>
      </c>
      <c r="Q15" s="7" t="n"/>
    </row>
    <row r="16" ht="28" customHeight="1" s="104">
      <c r="A16" s="9" t="inlineStr">
        <is>
          <t>remote work staycation philippines</t>
        </is>
      </c>
      <c r="B16" s="9" t="inlineStr">
        <is>
          <t>Cluster 3 - Weekend Getaway / Audience</t>
        </is>
      </c>
      <c r="C16" s="9" t="inlineStr">
        <is>
          <t>Commercial</t>
        </is>
      </c>
      <c r="D16" s="10" t="inlineStr">
        <is>
          <t>Medium</t>
        </is>
      </c>
      <c r="E16" s="77" t="inlineStr">
        <is>
          <t>Primary</t>
        </is>
      </c>
      <c r="F16" s="9" t="inlineStr">
        <is>
          <t>https://blog.haveninlipa.com/work-from-lipa-the-affordable-remote-work-staycation-near-manila/</t>
        </is>
      </c>
      <c r="G16" s="35" t="inlineStr">
        <is>
          <t>https://blog.haveninlipa.com/work-from-lipa-the-affordable-remote-work-staycation-near-manila/</t>
        </is>
      </c>
      <c r="H16" s="44" t="n">
        <v>9</v>
      </c>
      <c r="I16" s="7" t="inlineStr">
        <is>
          <t>Published</t>
        </is>
      </c>
      <c r="J16" s="9" t="inlineStr">
        <is>
          <t>Y</t>
        </is>
      </c>
      <c r="K16" s="9" t="n">
        <v>0</v>
      </c>
      <c r="L16" s="79">
        <f>IF(AND(K16&gt;=11,K16&lt;=20),"Striking distance","")</f>
        <v/>
      </c>
      <c r="M16" s="9" t="n">
        <v>0</v>
      </c>
      <c r="N16" s="9" t="n">
        <v>0</v>
      </c>
      <c r="O16" s="9" t="n">
        <v>0</v>
      </c>
      <c r="P16" s="15" t="n">
        <v>46244</v>
      </c>
      <c r="Q16" s="9" t="inlineStr">
        <is>
          <t>Target URL synced to live slug + confirmed indexed (GSC) 2026-06-02.</t>
        </is>
      </c>
    </row>
    <row r="17" ht="28" customHeight="1" s="104">
      <c r="A17" s="9" t="inlineStr">
        <is>
          <t>how to get to lipa from manila</t>
        </is>
      </c>
      <c r="B17" s="9" t="inlineStr">
        <is>
          <t>Cluster 4 - Travel Planning &amp; Logistics</t>
        </is>
      </c>
      <c r="C17" s="9" t="inlineStr">
        <is>
          <t>Informational</t>
        </is>
      </c>
      <c r="D17" s="10" t="inlineStr">
        <is>
          <t>Medium</t>
        </is>
      </c>
      <c r="E17" s="77" t="inlineStr">
        <is>
          <t>Primary</t>
        </is>
      </c>
      <c r="F17" s="9" t="inlineStr">
        <is>
          <t>https://blog.haveninlipa.com/how-to-get-to-lipa-city-from-manila-2026-guide/</t>
        </is>
      </c>
      <c r="G17" s="35" t="inlineStr">
        <is>
          <t>https://blog.haveninlipa.com/how-to-get-to-lipa-city-from-manila-2026-guide/</t>
        </is>
      </c>
      <c r="H17" s="44" t="n">
        <v>10</v>
      </c>
      <c r="I17" s="7" t="inlineStr">
        <is>
          <t>Published</t>
        </is>
      </c>
      <c r="J17" s="9" t="inlineStr">
        <is>
          <t>Y</t>
        </is>
      </c>
      <c r="K17" s="9" t="n">
        <v>0</v>
      </c>
      <c r="L17" s="79">
        <f>IF(AND(K17&gt;=11,K17&lt;=20),"Striking distance","")</f>
        <v/>
      </c>
      <c r="M17" s="9" t="n">
        <v>0</v>
      </c>
      <c r="N17" s="9" t="n">
        <v>0</v>
      </c>
      <c r="O17" s="9" t="n">
        <v>0</v>
      </c>
      <c r="P17" s="15" t="n">
        <v>46244</v>
      </c>
      <c r="Q17" s="9" t="inlineStr">
        <is>
          <t>Target URL synced to live slug + confirmed indexed (GSC) 2026-06-02.</t>
        </is>
      </c>
    </row>
    <row r="18" ht="28" customHeight="1" s="104">
      <c r="A18" s="7" t="inlineStr">
        <is>
          <t>family staycation lipa</t>
        </is>
      </c>
      <c r="B18" s="7" t="inlineStr">
        <is>
          <t>Cluster 3 - Weekend Getaway / Audience</t>
        </is>
      </c>
      <c r="C18" s="7" t="inlineStr">
        <is>
          <t>Commercial</t>
        </is>
      </c>
      <c r="D18" s="8" t="inlineStr">
        <is>
          <t>High</t>
        </is>
      </c>
      <c r="E18" s="80" t="inlineStr">
        <is>
          <t>Primary</t>
        </is>
      </c>
      <c r="F18" s="7" t="inlineStr">
        <is>
          <t>https://blog.haveninlipa.com/family-staycation-lipa/</t>
        </is>
      </c>
      <c r="G18" s="34" t="inlineStr">
        <is>
          <t>https://blog.haveninlipa.com/family-staycation-lipa-city-batangas/</t>
        </is>
      </c>
      <c r="H18" s="44" t="n">
        <v>11</v>
      </c>
      <c r="I18" s="7" t="inlineStr">
        <is>
          <t>Published</t>
        </is>
      </c>
      <c r="J18" s="7" t="inlineStr">
        <is>
          <t>Y</t>
        </is>
      </c>
      <c r="K18" s="7" t="n">
        <v>0</v>
      </c>
      <c r="L18" s="78">
        <f>IF(AND(K18&gt;=11,K18&lt;=20),"Striking distance","")</f>
        <v/>
      </c>
      <c r="M18" s="7" t="n">
        <v>0</v>
      </c>
      <c r="N18" s="7" t="n">
        <v>0</v>
      </c>
      <c r="O18" s="7" t="n">
        <v>0</v>
      </c>
      <c r="P18" s="15" t="n">
        <v>46244</v>
      </c>
      <c r="Q18" s="7" t="n"/>
    </row>
    <row r="19" ht="28" customHeight="1" s="104">
      <c r="A19" s="9" t="inlineStr">
        <is>
          <t>family-friendly rental lipa city</t>
        </is>
      </c>
      <c r="B19" s="9" t="inlineStr">
        <is>
          <t>Cluster 3 - Weekend Getaway / Audience</t>
        </is>
      </c>
      <c r="C19" s="9" t="inlineStr">
        <is>
          <t>Commercial</t>
        </is>
      </c>
      <c r="D19" s="8" t="inlineStr">
        <is>
          <t>High</t>
        </is>
      </c>
      <c r="E19" s="79" t="inlineStr">
        <is>
          <t>Secondary</t>
        </is>
      </c>
      <c r="F19" s="9" t="inlineStr">
        <is>
          <t>https://blog.haveninlipa.com/family-staycation-lipa/</t>
        </is>
      </c>
      <c r="G19" s="35" t="inlineStr">
        <is>
          <t>https://blog.haveninlipa.com/family-staycation-lipa-city-batangas/</t>
        </is>
      </c>
      <c r="H19" s="44" t="n">
        <v>11</v>
      </c>
      <c r="I19" s="7" t="inlineStr">
        <is>
          <t>Published</t>
        </is>
      </c>
      <c r="J19" s="9" t="inlineStr">
        <is>
          <t>Y</t>
        </is>
      </c>
      <c r="K19" s="9" t="n">
        <v>0</v>
      </c>
      <c r="L19" s="79">
        <f>IF(AND(K19&gt;=11,K19&lt;=20),"Striking distance","")</f>
        <v/>
      </c>
      <c r="M19" s="9" t="n">
        <v>0</v>
      </c>
      <c r="N19" s="9" t="n">
        <v>0</v>
      </c>
      <c r="O19" s="9" t="n">
        <v>0</v>
      </c>
      <c r="P19" s="15" t="n">
        <v>46244</v>
      </c>
      <c r="Q19" s="9" t="n"/>
    </row>
    <row r="20" ht="28" customHeight="1" s="104">
      <c r="A20" s="7" t="inlineStr">
        <is>
          <t>weekend getaway with kids near manila</t>
        </is>
      </c>
      <c r="B20" s="7" t="inlineStr">
        <is>
          <t>Cluster 3 - Weekend Getaway / Audience</t>
        </is>
      </c>
      <c r="C20" s="7" t="inlineStr">
        <is>
          <t>Commercial</t>
        </is>
      </c>
      <c r="D20" s="8" t="inlineStr">
        <is>
          <t>High</t>
        </is>
      </c>
      <c r="E20" s="78" t="inlineStr">
        <is>
          <t>Secondary</t>
        </is>
      </c>
      <c r="F20" s="7" t="inlineStr">
        <is>
          <t>https://blog.haveninlipa.com/family-staycation-lipa/</t>
        </is>
      </c>
      <c r="G20" s="34" t="inlineStr">
        <is>
          <t>https://blog.haveninlipa.com/family-staycation-lipa-city-batangas/</t>
        </is>
      </c>
      <c r="H20" s="44" t="n">
        <v>11</v>
      </c>
      <c r="I20" s="7" t="inlineStr">
        <is>
          <t>Published</t>
        </is>
      </c>
      <c r="J20" s="7" t="inlineStr">
        <is>
          <t>Y</t>
        </is>
      </c>
      <c r="K20" s="7" t="n">
        <v>0</v>
      </c>
      <c r="L20" s="78">
        <f>IF(AND(K20&gt;=11,K20&lt;=20),"Striking distance","")</f>
        <v/>
      </c>
      <c r="M20" s="7" t="n">
        <v>0</v>
      </c>
      <c r="N20" s="7" t="n">
        <v>0</v>
      </c>
      <c r="O20" s="7" t="n">
        <v>0</v>
      </c>
      <c r="P20" s="15" t="n">
        <v>46244</v>
      </c>
      <c r="Q20" s="7" t="n"/>
    </row>
    <row r="21" ht="28" customHeight="1" s="104">
      <c r="A21" s="9" t="inlineStr">
        <is>
          <t>kid-friendly batangas</t>
        </is>
      </c>
      <c r="B21" s="9" t="inlineStr">
        <is>
          <t>Cluster 3 - Weekend Getaway / Audience</t>
        </is>
      </c>
      <c r="C21" s="9" t="inlineStr">
        <is>
          <t>Informational</t>
        </is>
      </c>
      <c r="D21" s="10" t="inlineStr">
        <is>
          <t>Medium</t>
        </is>
      </c>
      <c r="E21" s="79" t="inlineStr">
        <is>
          <t>Secondary</t>
        </is>
      </c>
      <c r="F21" s="9" t="inlineStr">
        <is>
          <t>https://blog.haveninlipa.com/family-staycation-lipa/</t>
        </is>
      </c>
      <c r="G21" s="35" t="inlineStr">
        <is>
          <t>https://blog.haveninlipa.com/family-staycation-lipa-city-batangas/</t>
        </is>
      </c>
      <c r="H21" s="44" t="n">
        <v>11</v>
      </c>
      <c r="I21" s="7" t="inlineStr">
        <is>
          <t>Published</t>
        </is>
      </c>
      <c r="J21" s="9" t="inlineStr">
        <is>
          <t>Y</t>
        </is>
      </c>
      <c r="K21" s="9" t="n">
        <v>0</v>
      </c>
      <c r="L21" s="79">
        <f>IF(AND(K21&gt;=11,K21&lt;=20),"Striking distance","")</f>
        <v/>
      </c>
      <c r="M21" s="9" t="n">
        <v>0</v>
      </c>
      <c r="N21" s="9" t="n">
        <v>0</v>
      </c>
      <c r="O21" s="9" t="n">
        <v>0</v>
      </c>
      <c r="P21" s="15" t="n">
        <v>46244</v>
      </c>
      <c r="Q21" s="9" t="n"/>
    </row>
    <row r="22" ht="28" customHeight="1" s="104">
      <c r="A22" s="7" t="inlineStr">
        <is>
          <t>romantic getaway batangas</t>
        </is>
      </c>
      <c r="B22" s="7" t="inlineStr">
        <is>
          <t>Cluster 3 - Weekend Getaway / Audience</t>
        </is>
      </c>
      <c r="C22" s="7" t="inlineStr">
        <is>
          <t>Commercial</t>
        </is>
      </c>
      <c r="D22" s="8" t="inlineStr">
        <is>
          <t>High</t>
        </is>
      </c>
      <c r="E22" s="80" t="inlineStr">
        <is>
          <t>Primary</t>
        </is>
      </c>
      <c r="F22" s="7" t="inlineStr">
        <is>
          <t>https://blog.haveninlipa.com/romantic-getaway-batangas/</t>
        </is>
      </c>
      <c r="G22" s="34" t="inlineStr">
        <is>
          <t>https://blog.haveninlipa.com/romantic-getaway-batangas-lipa-city/</t>
        </is>
      </c>
      <c r="H22" s="44" t="n">
        <v>12</v>
      </c>
      <c r="I22" s="7" t="inlineStr">
        <is>
          <t>Published</t>
        </is>
      </c>
      <c r="J22" s="7" t="inlineStr">
        <is>
          <t>Y</t>
        </is>
      </c>
      <c r="K22" s="7" t="n">
        <v>0</v>
      </c>
      <c r="L22" s="78">
        <f>IF(AND(K22&gt;=11,K22&lt;=20),"Striking distance","")</f>
        <v/>
      </c>
      <c r="M22" s="7" t="n">
        <v>0</v>
      </c>
      <c r="N22" s="7" t="n">
        <v>0</v>
      </c>
      <c r="O22" s="7" t="n">
        <v>0</v>
      </c>
      <c r="P22" s="15" t="n">
        <v>46244</v>
      </c>
      <c r="Q22" s="7" t="n"/>
    </row>
    <row r="23" ht="28" customHeight="1" s="104">
      <c r="A23" s="9" t="inlineStr">
        <is>
          <t>couple retreat lipa</t>
        </is>
      </c>
      <c r="B23" s="9" t="inlineStr">
        <is>
          <t>Cluster 3 - Weekend Getaway / Audience</t>
        </is>
      </c>
      <c r="C23" s="9" t="inlineStr">
        <is>
          <t>Commercial</t>
        </is>
      </c>
      <c r="D23" s="8" t="inlineStr">
        <is>
          <t>High</t>
        </is>
      </c>
      <c r="E23" s="79" t="inlineStr">
        <is>
          <t>Secondary</t>
        </is>
      </c>
      <c r="F23" s="9" t="inlineStr">
        <is>
          <t>https://blog.haveninlipa.com/romantic-getaway-batangas/</t>
        </is>
      </c>
      <c r="G23" s="35" t="inlineStr">
        <is>
          <t>https://blog.haveninlipa.com/romantic-getaway-batangas-lipa-city/</t>
        </is>
      </c>
      <c r="H23" s="44" t="n">
        <v>12</v>
      </c>
      <c r="I23" s="7" t="inlineStr">
        <is>
          <t>Published</t>
        </is>
      </c>
      <c r="J23" s="9" t="inlineStr">
        <is>
          <t>Y</t>
        </is>
      </c>
      <c r="K23" s="9" t="n">
        <v>0</v>
      </c>
      <c r="L23" s="79">
        <f>IF(AND(K23&gt;=11,K23&lt;=20),"Striking distance","")</f>
        <v/>
      </c>
      <c r="M23" s="9" t="n">
        <v>0</v>
      </c>
      <c r="N23" s="9" t="n">
        <v>0</v>
      </c>
      <c r="O23" s="9" t="n">
        <v>0</v>
      </c>
      <c r="P23" s="15" t="n">
        <v>46244</v>
      </c>
      <c r="Q23" s="9" t="n"/>
    </row>
    <row r="24" ht="28" customHeight="1" s="104">
      <c r="A24" s="7" t="inlineStr">
        <is>
          <t>honeymoon batangas</t>
        </is>
      </c>
      <c r="B24" s="7" t="inlineStr">
        <is>
          <t>Cluster 3 - Weekend Getaway / Audience</t>
        </is>
      </c>
      <c r="C24" s="7" t="inlineStr">
        <is>
          <t>Commercial</t>
        </is>
      </c>
      <c r="D24" s="10" t="inlineStr">
        <is>
          <t>Medium</t>
        </is>
      </c>
      <c r="E24" s="78" t="inlineStr">
        <is>
          <t>Secondary</t>
        </is>
      </c>
      <c r="F24" s="7" t="inlineStr">
        <is>
          <t>https://blog.haveninlipa.com/romantic-getaway-batangas/</t>
        </is>
      </c>
      <c r="G24" s="34" t="inlineStr">
        <is>
          <t>https://blog.haveninlipa.com/romantic-getaway-batangas-lipa-city/</t>
        </is>
      </c>
      <c r="H24" s="44" t="n">
        <v>12</v>
      </c>
      <c r="I24" s="7" t="inlineStr">
        <is>
          <t>Published</t>
        </is>
      </c>
      <c r="J24" s="7" t="inlineStr">
        <is>
          <t>Y</t>
        </is>
      </c>
      <c r="K24" s="7" t="n">
        <v>0</v>
      </c>
      <c r="L24" s="78">
        <f>IF(AND(K24&gt;=11,K24&lt;=20),"Striking distance","")</f>
        <v/>
      </c>
      <c r="M24" s="7" t="n">
        <v>0</v>
      </c>
      <c r="N24" s="7" t="n">
        <v>0</v>
      </c>
      <c r="O24" s="7" t="n">
        <v>0</v>
      </c>
      <c r="P24" s="15" t="n">
        <v>46244</v>
      </c>
      <c r="Q24" s="7" t="n"/>
    </row>
    <row r="25" ht="28" customHeight="1" s="104">
      <c r="A25" s="9" t="inlineStr">
        <is>
          <t>anniversary getaway near manila</t>
        </is>
      </c>
      <c r="B25" s="9" t="inlineStr">
        <is>
          <t>Cluster 3 - Weekend Getaway / Audience</t>
        </is>
      </c>
      <c r="C25" s="9" t="inlineStr">
        <is>
          <t>Commercial</t>
        </is>
      </c>
      <c r="D25" s="10" t="inlineStr">
        <is>
          <t>Medium</t>
        </is>
      </c>
      <c r="E25" s="79" t="inlineStr">
        <is>
          <t>Secondary</t>
        </is>
      </c>
      <c r="F25" s="9" t="inlineStr">
        <is>
          <t>https://blog.haveninlipa.com/romantic-getaway-batangas/</t>
        </is>
      </c>
      <c r="G25" s="35" t="inlineStr">
        <is>
          <t>https://blog.haveninlipa.com/romantic-getaway-batangas-lipa-city/</t>
        </is>
      </c>
      <c r="H25" s="44" t="n">
        <v>12</v>
      </c>
      <c r="I25" s="7" t="inlineStr">
        <is>
          <t>Published</t>
        </is>
      </c>
      <c r="J25" s="9" t="inlineStr">
        <is>
          <t>Y</t>
        </is>
      </c>
      <c r="K25" s="9" t="n">
        <v>0</v>
      </c>
      <c r="L25" s="79">
        <f>IF(AND(K25&gt;=11,K25&lt;=20),"Striking distance","")</f>
        <v/>
      </c>
      <c r="M25" s="9" t="n">
        <v>0</v>
      </c>
      <c r="N25" s="9" t="n">
        <v>0</v>
      </c>
      <c r="O25" s="9" t="n">
        <v>0</v>
      </c>
      <c r="P25" s="15" t="n">
        <v>46244</v>
      </c>
      <c r="Q25" s="9" t="n"/>
    </row>
    <row r="26" ht="28" customHeight="1" s="104">
      <c r="A26" s="9" t="inlineStr">
        <is>
          <t>full house rental lipa</t>
        </is>
      </c>
      <c r="B26" s="9" t="inlineStr">
        <is>
          <t>Cluster 1 - Short-Term Rentals</t>
        </is>
      </c>
      <c r="C26" s="9" t="inlineStr">
        <is>
          <t>Transactional</t>
        </is>
      </c>
      <c r="D26" s="8" t="inlineStr">
        <is>
          <t>High</t>
        </is>
      </c>
      <c r="E26" s="77" t="inlineStr">
        <is>
          <t>Primary</t>
        </is>
      </c>
      <c r="F26" s="9" t="inlineStr">
        <is>
          <t>https://haveninlipa.com/properties/mickey-in-lipa--full-family-house--sleeps-15</t>
        </is>
      </c>
      <c r="G26" s="35" t="inlineStr">
        <is>
          <t>https://haveninlipa.com/properties/mickey-in-lipa--full-family-house--sleeps-15</t>
        </is>
      </c>
      <c r="H26" s="44" t="n">
        <v>13</v>
      </c>
      <c r="I26" s="7" t="inlineStr">
        <is>
          <t>Live - verify GSC</t>
        </is>
      </c>
      <c r="J26" s="9" t="inlineStr">
        <is>
          <t>Y</t>
        </is>
      </c>
      <c r="K26" s="9" t="n">
        <v>0</v>
      </c>
      <c r="L26" s="79">
        <f>IF(AND(K26&gt;=11,K26&lt;=20),"Striking distance","")</f>
        <v/>
      </c>
      <c r="M26" s="9" t="n">
        <v>0</v>
      </c>
      <c r="N26" s="9" t="n">
        <v>0</v>
      </c>
      <c r="O26" s="9" t="n">
        <v>0</v>
      </c>
      <c r="P26" s="15" t="n">
        <v>46244</v>
      </c>
      <c r="Q26" s="9" t="inlineStr">
        <is>
          <t>Transactional → Full Family House (sleeps 15). Mapped to booking page, not blog, 2026-06-18.</t>
        </is>
      </c>
    </row>
    <row r="27" ht="28" customHeight="1" s="104">
      <c r="A27" s="7" t="inlineStr">
        <is>
          <t>family house rental lipa city</t>
        </is>
      </c>
      <c r="B27" s="7" t="inlineStr">
        <is>
          <t>Cluster 1 - Short-Term Rentals</t>
        </is>
      </c>
      <c r="C27" s="7" t="inlineStr">
        <is>
          <t>Transactional</t>
        </is>
      </c>
      <c r="D27" s="8" t="inlineStr">
        <is>
          <t>High</t>
        </is>
      </c>
      <c r="E27" s="80" t="inlineStr">
        <is>
          <t>Primary</t>
        </is>
      </c>
      <c r="F27" s="7" t="inlineStr">
        <is>
          <t>https://haveninlipa.com/properties/mickey-in-lipa--family-house--sleeps-11</t>
        </is>
      </c>
      <c r="G27" s="34" t="inlineStr">
        <is>
          <t>https://haveninlipa.com/properties/mickey-in-lipa--family-house--sleeps-11</t>
        </is>
      </c>
      <c r="H27" s="44" t="n">
        <v>13</v>
      </c>
      <c r="I27" s="7" t="inlineStr">
        <is>
          <t>Live - verify GSC</t>
        </is>
      </c>
      <c r="J27" s="7" t="inlineStr">
        <is>
          <t>Y</t>
        </is>
      </c>
      <c r="K27" s="7" t="n">
        <v>0</v>
      </c>
      <c r="L27" s="78">
        <f>IF(AND(K27&gt;=11,K27&lt;=20),"Striking distance","")</f>
        <v/>
      </c>
      <c r="M27" s="7" t="n">
        <v>0</v>
      </c>
      <c r="N27" s="7" t="n">
        <v>0</v>
      </c>
      <c r="O27" s="7" t="n">
        <v>0</v>
      </c>
      <c r="P27" s="15" t="n">
        <v>46244</v>
      </c>
      <c r="Q27" s="7" t="inlineStr">
        <is>
          <t>Transactional → Family House (sleeps 11). Mapped to booking page, not blog, 2026-06-18.</t>
        </is>
      </c>
    </row>
    <row r="28" ht="28" customHeight="1" s="104">
      <c r="A28" s="9" t="inlineStr">
        <is>
          <t>mickey in lipa</t>
        </is>
      </c>
      <c r="B28" s="9" t="inlineStr">
        <is>
          <t>Cluster 6 - Branded / Property</t>
        </is>
      </c>
      <c r="C28" s="9" t="inlineStr">
        <is>
          <t>Branded</t>
        </is>
      </c>
      <c r="D28" s="8" t="inlineStr">
        <is>
          <t>High</t>
        </is>
      </c>
      <c r="E28" s="77" t="inlineStr">
        <is>
          <t>Primary</t>
        </is>
      </c>
      <c r="F28" s="9" t="inlineStr">
        <is>
          <t>https://blog.haveninlipa.com/mickey-in-lipa-coming-soon/</t>
        </is>
      </c>
      <c r="G28" s="35" t="inlineStr">
        <is>
          <t>https://blog.haveninlipa.com/mickey-in-lipa-coming-soon/</t>
        </is>
      </c>
      <c r="H28" s="44" t="n">
        <v>13</v>
      </c>
      <c r="I28" s="7" t="inlineStr">
        <is>
          <t>Published</t>
        </is>
      </c>
      <c r="J28" s="9" t="inlineStr">
        <is>
          <t>Y</t>
        </is>
      </c>
      <c r="K28" s="9" t="n">
        <v>0</v>
      </c>
      <c r="L28" s="79">
        <f>IF(AND(K28&gt;=11,K28&lt;=20),"Striking distance","")</f>
        <v/>
      </c>
      <c r="M28" s="9" t="n">
        <v>0</v>
      </c>
      <c r="N28" s="9" t="n">
        <v>0</v>
      </c>
      <c r="O28" s="9" t="n">
        <v>0</v>
      </c>
      <c r="P28" s="15" t="n">
        <v>46244</v>
      </c>
      <c r="Q28" s="9" t="inlineStr">
        <is>
          <t>Branded → launch post hub (links all 3 configs). 2026-06-18.</t>
        </is>
      </c>
    </row>
    <row r="29" ht="28" customHeight="1" s="104">
      <c r="A29" s="7" t="inlineStr">
        <is>
          <t>disney-inspired house lipa</t>
        </is>
      </c>
      <c r="B29" s="7" t="inlineStr">
        <is>
          <t>Cluster 6 - Branded / Property</t>
        </is>
      </c>
      <c r="C29" s="7" t="inlineStr">
        <is>
          <t>Commercial</t>
        </is>
      </c>
      <c r="D29" s="8" t="inlineStr">
        <is>
          <t>High</t>
        </is>
      </c>
      <c r="E29" s="78" t="inlineStr">
        <is>
          <t>Secondary</t>
        </is>
      </c>
      <c r="F29" s="7" t="inlineStr">
        <is>
          <t>https://blog.haveninlipa.com/mickey-in-lipa-coming-soon/</t>
        </is>
      </c>
      <c r="G29" s="34" t="inlineStr">
        <is>
          <t>https://blog.haveninlipa.com/mickey-in-lipa-coming-soon/</t>
        </is>
      </c>
      <c r="H29" s="44" t="n">
        <v>13</v>
      </c>
      <c r="I29" s="7" t="inlineStr">
        <is>
          <t>Published</t>
        </is>
      </c>
      <c r="J29" s="7" t="inlineStr">
        <is>
          <t>Y</t>
        </is>
      </c>
      <c r="K29" s="7" t="n">
        <v>0</v>
      </c>
      <c r="L29" s="78">
        <f>IF(AND(K29&gt;=11,K29&lt;=20),"Striking distance","")</f>
        <v/>
      </c>
      <c r="M29" s="7" t="n">
        <v>0</v>
      </c>
      <c r="N29" s="7" t="n">
        <v>0</v>
      </c>
      <c r="O29" s="7" t="n">
        <v>0</v>
      </c>
      <c r="P29" s="15" t="n">
        <v>46244</v>
      </c>
      <c r="Q29" s="7" t="inlineStr">
        <is>
          <t>Commercial → launch post hub. 2026-06-18.</t>
        </is>
      </c>
    </row>
    <row r="30" ht="28" customHeight="1" s="104">
      <c r="A30" s="9" t="inlineStr">
        <is>
          <t>disney themed rental philippines</t>
        </is>
      </c>
      <c r="B30" s="9" t="inlineStr">
        <is>
          <t>Cluster 6 - Branded / Property</t>
        </is>
      </c>
      <c r="C30" s="9" t="inlineStr">
        <is>
          <t>Commercial</t>
        </is>
      </c>
      <c r="D30" s="10" t="inlineStr">
        <is>
          <t>Medium</t>
        </is>
      </c>
      <c r="E30" s="79" t="inlineStr">
        <is>
          <t>Secondary</t>
        </is>
      </c>
      <c r="F30" s="9" t="inlineStr">
        <is>
          <t>https://blog.haveninlipa.com/mickey-in-lipa-coming-soon/</t>
        </is>
      </c>
      <c r="G30" s="35" t="inlineStr">
        <is>
          <t>https://blog.haveninlipa.com/mickey-in-lipa-coming-soon/</t>
        </is>
      </c>
      <c r="H30" s="44" t="n">
        <v>13</v>
      </c>
      <c r="I30" s="7" t="inlineStr">
        <is>
          <t>Published</t>
        </is>
      </c>
      <c r="J30" s="9" t="inlineStr">
        <is>
          <t>Y</t>
        </is>
      </c>
      <c r="K30" s="9" t="n">
        <v>0</v>
      </c>
      <c r="L30" s="79">
        <f>IF(AND(K30&gt;=11,K30&lt;=20),"Striking distance","")</f>
        <v/>
      </c>
      <c r="M30" s="9" t="n">
        <v>0</v>
      </c>
      <c r="N30" s="9" t="n">
        <v>0</v>
      </c>
      <c r="O30" s="9" t="n">
        <v>0</v>
      </c>
      <c r="P30" s="15" t="n">
        <v>46244</v>
      </c>
      <c r="Q30" s="9" t="inlineStr">
        <is>
          <t>Commercial → launch post hub. 2026-06-18.</t>
        </is>
      </c>
    </row>
    <row r="31" ht="28" customHeight="1" s="104">
      <c r="A31" s="7" t="inlineStr">
        <is>
          <t>bella vita lipa rental</t>
        </is>
      </c>
      <c r="B31" s="7" t="inlineStr">
        <is>
          <t>Cluster 6 - Branded / Property</t>
        </is>
      </c>
      <c r="C31" s="7" t="inlineStr">
        <is>
          <t>Local/Branded</t>
        </is>
      </c>
      <c r="D31" s="10" t="inlineStr">
        <is>
          <t>Medium</t>
        </is>
      </c>
      <c r="E31" s="78" t="inlineStr">
        <is>
          <t>Secondary</t>
        </is>
      </c>
      <c r="F31" s="7" t="inlineStr">
        <is>
          <t>https://blog.haveninlipa.com/mickey-in-lipa-coming-soon/</t>
        </is>
      </c>
      <c r="G31" s="34" t="inlineStr">
        <is>
          <t>https://blog.haveninlipa.com/mickey-in-lipa-coming-soon/</t>
        </is>
      </c>
      <c r="H31" s="44" t="n">
        <v>13</v>
      </c>
      <c r="I31" s="7" t="inlineStr">
        <is>
          <t>Published</t>
        </is>
      </c>
      <c r="J31" s="7" t="inlineStr">
        <is>
          <t>Y</t>
        </is>
      </c>
      <c r="K31" s="7" t="n">
        <v>0</v>
      </c>
      <c r="L31" s="78">
        <f>IF(AND(K31&gt;=11,K31&lt;=20),"Striking distance","")</f>
        <v/>
      </c>
      <c r="M31" s="7" t="n">
        <v>0</v>
      </c>
      <c r="N31" s="7" t="n">
        <v>0</v>
      </c>
      <c r="O31" s="7" t="n">
        <v>0</v>
      </c>
      <c r="P31" s="15" t="n">
        <v>46244</v>
      </c>
      <c r="Q31" s="7" t="inlineStr">
        <is>
          <t>Local/Branded → launch post hub. 2026-06-18.</t>
        </is>
      </c>
    </row>
    <row r="32" ht="28" customHeight="1" s="104">
      <c r="A32" s="7" t="inlineStr">
        <is>
          <t>family weekend batangas</t>
        </is>
      </c>
      <c r="B32" s="7" t="inlineStr">
        <is>
          <t>Cluster 3 - Weekend Getaway / Audience</t>
        </is>
      </c>
      <c r="C32" s="7" t="inlineStr">
        <is>
          <t>Commercial</t>
        </is>
      </c>
      <c r="D32" s="8" t="inlineStr">
        <is>
          <t>High</t>
        </is>
      </c>
      <c r="E32" s="80" t="inlineStr">
        <is>
          <t>Primary</t>
        </is>
      </c>
      <c r="F32" s="7" t="inlineStr">
        <is>
          <t>https://blog.haveninlipa.com/family-weekend-batangas-without-beach-crowds/</t>
        </is>
      </c>
      <c r="G32" s="34" t="inlineStr">
        <is>
          <t>https://blog.haveninlipa.com/family-weekend-batangas-without-beach-crowds/</t>
        </is>
      </c>
      <c r="H32" s="44" t="n">
        <v>14</v>
      </c>
      <c r="I32" s="7" t="inlineStr">
        <is>
          <t>Published</t>
        </is>
      </c>
      <c r="J32" s="7" t="inlineStr">
        <is>
          <t>Y</t>
        </is>
      </c>
      <c r="K32" s="7" t="n">
        <v>0</v>
      </c>
      <c r="L32" s="78">
        <f>IF(AND(K32&gt;=11,K32&lt;=20),"Striking distance","")</f>
        <v/>
      </c>
      <c r="M32" s="7" t="n">
        <v>0</v>
      </c>
      <c r="N32" s="7" t="n">
        <v>0</v>
      </c>
      <c r="O32" s="7" t="n">
        <v>0</v>
      </c>
      <c r="P32" s="15" t="n">
        <v>46244</v>
      </c>
      <c r="Q32" s="7" t="n"/>
    </row>
    <row r="33" ht="28" customHeight="1" s="104">
      <c r="A33" s="9" t="inlineStr">
        <is>
          <t>weekend near manila with family</t>
        </is>
      </c>
      <c r="B33" s="9" t="inlineStr">
        <is>
          <t>Cluster 3 - Weekend Getaway / Audience</t>
        </is>
      </c>
      <c r="C33" s="9" t="inlineStr">
        <is>
          <t>Commercial</t>
        </is>
      </c>
      <c r="D33" s="8" t="inlineStr">
        <is>
          <t>High</t>
        </is>
      </c>
      <c r="E33" s="79" t="inlineStr">
        <is>
          <t>Secondary</t>
        </is>
      </c>
      <c r="F33" s="9" t="inlineStr">
        <is>
          <t>https://blog.haveninlipa.com/family-weekend-batangas-without-beach-crowds/</t>
        </is>
      </c>
      <c r="G33" s="35" t="inlineStr">
        <is>
          <t>https://blog.haveninlipa.com/family-weekend-batangas-without-beach-crowds/</t>
        </is>
      </c>
      <c r="H33" s="44" t="n">
        <v>14</v>
      </c>
      <c r="I33" s="7" t="inlineStr">
        <is>
          <t>Published</t>
        </is>
      </c>
      <c r="J33" s="9" t="inlineStr">
        <is>
          <t>Y</t>
        </is>
      </c>
      <c r="K33" s="9" t="n">
        <v>0</v>
      </c>
      <c r="L33" s="79">
        <f>IF(AND(K33&gt;=11,K33&lt;=20),"Striking distance","")</f>
        <v/>
      </c>
      <c r="M33" s="9" t="n">
        <v>0</v>
      </c>
      <c r="N33" s="9" t="n">
        <v>0</v>
      </c>
      <c r="O33" s="9" t="n">
        <v>0</v>
      </c>
      <c r="P33" s="15" t="n">
        <v>46244</v>
      </c>
      <c r="Q33" s="9" t="n"/>
    </row>
    <row r="34" ht="28" customHeight="1" s="104">
      <c r="A34" s="7" t="inlineStr">
        <is>
          <t>batangas without beach crowds</t>
        </is>
      </c>
      <c r="B34" s="7" t="inlineStr">
        <is>
          <t>Cluster 3 - Weekend Getaway / Audience</t>
        </is>
      </c>
      <c r="C34" s="7" t="inlineStr">
        <is>
          <t>Informational</t>
        </is>
      </c>
      <c r="D34" s="10" t="inlineStr">
        <is>
          <t>Medium</t>
        </is>
      </c>
      <c r="E34" s="78" t="inlineStr">
        <is>
          <t>Secondary</t>
        </is>
      </c>
      <c r="F34" s="7" t="inlineStr">
        <is>
          <t>https://blog.haveninlipa.com/family-weekend-batangas-without-beach-crowds/</t>
        </is>
      </c>
      <c r="G34" s="34" t="inlineStr">
        <is>
          <t>https://blog.haveninlipa.com/family-weekend-batangas-without-beach-crowds/</t>
        </is>
      </c>
      <c r="H34" s="44" t="n">
        <v>14</v>
      </c>
      <c r="I34" s="7" t="inlineStr">
        <is>
          <t>Published</t>
        </is>
      </c>
      <c r="J34" s="7" t="inlineStr">
        <is>
          <t>Y</t>
        </is>
      </c>
      <c r="K34" s="7" t="n">
        <v>0</v>
      </c>
      <c r="L34" s="78">
        <f>IF(AND(K34&gt;=11,K34&lt;=20),"Striking distance","")</f>
        <v/>
      </c>
      <c r="M34" s="7" t="n">
        <v>0</v>
      </c>
      <c r="N34" s="7" t="n">
        <v>0</v>
      </c>
      <c r="O34" s="7" t="n">
        <v>0</v>
      </c>
      <c r="P34" s="15" t="n">
        <v>46244</v>
      </c>
      <c r="Q34" s="7" t="n"/>
    </row>
    <row r="35" ht="28" customHeight="1" s="104">
      <c r="A35" s="7" t="inlineStr">
        <is>
          <t>lipa family itinerary</t>
        </is>
      </c>
      <c r="B35" s="7" t="inlineStr">
        <is>
          <t>Cluster 4 - Travel Planning &amp; Logistics</t>
        </is>
      </c>
      <c r="C35" s="7" t="inlineStr">
        <is>
          <t>Informational</t>
        </is>
      </c>
      <c r="D35" s="10" t="inlineStr">
        <is>
          <t>Medium</t>
        </is>
      </c>
      <c r="E35" s="78" t="inlineStr">
        <is>
          <t>Secondary</t>
        </is>
      </c>
      <c r="F35" s="7" t="inlineStr">
        <is>
          <t>https://blog.haveninlipa.com/family-weekend-batangas-without-beach-crowds/</t>
        </is>
      </c>
      <c r="G35" s="34" t="inlineStr">
        <is>
          <t>https://blog.haveninlipa.com/family-weekend-batangas-without-beach-crowds/</t>
        </is>
      </c>
      <c r="H35" s="44" t="n">
        <v>14</v>
      </c>
      <c r="I35" s="7" t="inlineStr">
        <is>
          <t>Published</t>
        </is>
      </c>
      <c r="J35" s="7" t="inlineStr">
        <is>
          <t>Y</t>
        </is>
      </c>
      <c r="K35" s="7" t="n">
        <v>0</v>
      </c>
      <c r="L35" s="78">
        <f>IF(AND(K35&gt;=11,K35&lt;=20),"Striking distance","")</f>
        <v/>
      </c>
      <c r="M35" s="7" t="n">
        <v>0</v>
      </c>
      <c r="N35" s="7" t="n">
        <v>0</v>
      </c>
      <c r="O35" s="7" t="n">
        <v>0</v>
      </c>
      <c r="P35" s="15" t="n">
        <v>46244</v>
      </c>
      <c r="Q35" s="7" t="n"/>
    </row>
    <row r="36" ht="28" customHeight="1" s="104">
      <c r="A36" s="36" t="inlineStr">
        <is>
          <t>independence day long weekend lipa</t>
        </is>
      </c>
      <c r="B36" s="36" t="inlineStr">
        <is>
          <t>Cluster 3 - Weekend Getaway / Audience</t>
        </is>
      </c>
      <c r="C36" s="36" t="inlineStr">
        <is>
          <t>Seasonal</t>
        </is>
      </c>
      <c r="D36" s="37" t="inlineStr">
        <is>
          <t>High</t>
        </is>
      </c>
      <c r="E36" s="80" t="inlineStr">
        <is>
          <t>Primary</t>
        </is>
      </c>
      <c r="F36" s="36" t="inlineStr">
        <is>
          <t>https://blog.haveninlipa.com/independence-day-long-weekend-lipa-2026/</t>
        </is>
      </c>
      <c r="G36" s="32" t="inlineStr">
        <is>
          <t>https://blog.haveninlipa.com/independence-day-long-weekend-lipa-2026/</t>
        </is>
      </c>
      <c r="H36" s="44" t="n">
        <v>15</v>
      </c>
      <c r="I36" s="7" t="inlineStr">
        <is>
          <t>Published</t>
        </is>
      </c>
      <c r="J36" s="36" t="inlineStr">
        <is>
          <t>Y</t>
        </is>
      </c>
      <c r="K36" s="36" t="n">
        <v>0</v>
      </c>
      <c r="L36" s="78">
        <f>IF(AND(K36&gt;=11,K36&lt;=20),"Striking distance","")</f>
        <v/>
      </c>
      <c r="M36" s="36" t="n">
        <v>0</v>
      </c>
      <c r="N36" s="36" t="n">
        <v>0</v>
      </c>
      <c r="O36" s="36" t="n">
        <v>0</v>
      </c>
      <c r="P36" s="15" t="n">
        <v>46244</v>
      </c>
      <c r="Q36" s="36" t="inlineStr">
        <is>
          <t>PRIMARY. Holiday long-tail; deliberately NOT generic 'weekend getaway near manila' (#3) to avoid cannibalization.</t>
        </is>
      </c>
    </row>
    <row r="37" ht="28" customHeight="1" s="104">
      <c r="A37" s="7" t="inlineStr">
        <is>
          <t>independence day getaway near manila 2026</t>
        </is>
      </c>
      <c r="B37" s="36" t="inlineStr">
        <is>
          <t>Cluster 3 - Weekend Getaway / Audience</t>
        </is>
      </c>
      <c r="C37" s="36" t="inlineStr">
        <is>
          <t>Seasonal</t>
        </is>
      </c>
      <c r="D37" s="37" t="inlineStr">
        <is>
          <t>Medium</t>
        </is>
      </c>
      <c r="E37" s="78" t="inlineStr">
        <is>
          <t>Secondary</t>
        </is>
      </c>
      <c r="F37" s="36" t="inlineStr">
        <is>
          <t>https://blog.haveninlipa.com/independence-day-long-weekend-lipa-2026/</t>
        </is>
      </c>
      <c r="G37" s="32" t="inlineStr">
        <is>
          <t>https://blog.haveninlipa.com/independence-day-long-weekend-lipa-2026/</t>
        </is>
      </c>
      <c r="H37" s="44" t="n">
        <v>15</v>
      </c>
      <c r="I37" s="7" t="inlineStr">
        <is>
          <t>Published</t>
        </is>
      </c>
      <c r="J37" s="36" t="inlineStr">
        <is>
          <t>Y</t>
        </is>
      </c>
      <c r="K37" s="36" t="n">
        <v>0</v>
      </c>
      <c r="L37" s="78">
        <f>IF(AND(K37&gt;=11,K37&lt;=20),"Striking distance","")</f>
        <v/>
      </c>
      <c r="M37" s="36" t="n">
        <v>0</v>
      </c>
      <c r="N37" s="36" t="n">
        <v>0</v>
      </c>
      <c r="O37" s="36" t="n">
        <v>0</v>
      </c>
      <c r="P37" s="15" t="n">
        <v>46244</v>
      </c>
      <c r="Q37" s="36" t="inlineStr">
        <is>
          <t>Secondary.</t>
        </is>
      </c>
    </row>
    <row r="38" ht="28" customHeight="1" s="104">
      <c r="A38" s="36" t="inlineStr">
        <is>
          <t>araw ng kalayaan weekend itinerary</t>
        </is>
      </c>
      <c r="B38" s="36" t="inlineStr">
        <is>
          <t>Cluster 3 - Weekend Getaway / Audience</t>
        </is>
      </c>
      <c r="C38" s="36" t="inlineStr">
        <is>
          <t>Informational</t>
        </is>
      </c>
      <c r="D38" s="37" t="inlineStr">
        <is>
          <t>Low</t>
        </is>
      </c>
      <c r="E38" s="78" t="inlineStr">
        <is>
          <t>Secondary</t>
        </is>
      </c>
      <c r="F38" s="36" t="inlineStr">
        <is>
          <t>https://blog.haveninlipa.com/independence-day-long-weekend-lipa-2026/</t>
        </is>
      </c>
      <c r="G38" s="32" t="inlineStr">
        <is>
          <t>https://blog.haveninlipa.com/independence-day-long-weekend-lipa-2026/</t>
        </is>
      </c>
      <c r="H38" s="44" t="n">
        <v>15</v>
      </c>
      <c r="I38" s="7" t="inlineStr">
        <is>
          <t>Published</t>
        </is>
      </c>
      <c r="J38" s="36" t="inlineStr">
        <is>
          <t>Y</t>
        </is>
      </c>
      <c r="K38" s="36" t="n">
        <v>0</v>
      </c>
      <c r="L38" s="78">
        <f>IF(AND(K38&gt;=11,K38&lt;=20),"Striking distance","")</f>
        <v/>
      </c>
      <c r="M38" s="36" t="n">
        <v>0</v>
      </c>
      <c r="N38" s="36" t="n">
        <v>0</v>
      </c>
      <c r="O38" s="36" t="n">
        <v>0</v>
      </c>
      <c r="P38" s="15" t="n">
        <v>46244</v>
      </c>
      <c r="Q38" s="36" t="inlineStr">
        <is>
          <t>Secondary (Tagalog variant).</t>
        </is>
      </c>
    </row>
    <row r="39" ht="28" customHeight="1" s="104">
      <c r="A39" s="7" t="inlineStr">
        <is>
          <t>what to do in lipa when it rains</t>
        </is>
      </c>
      <c r="B39" s="36" t="inlineStr">
        <is>
          <t>Cluster 2 - Things to Do in Lipa</t>
        </is>
      </c>
      <c r="C39" s="36" t="inlineStr">
        <is>
          <t>Informational</t>
        </is>
      </c>
      <c r="D39" s="37" t="inlineStr">
        <is>
          <t>Medium</t>
        </is>
      </c>
      <c r="E39" s="80" t="inlineStr">
        <is>
          <t>Primary</t>
        </is>
      </c>
      <c r="F39" s="36" t="inlineStr">
        <is>
          <t>https://blog.haveninlipa.com/indoor-things-to-do-in-lipa-city-when-it-rains/</t>
        </is>
      </c>
      <c r="G39" s="32" t="inlineStr">
        <is>
          <t>https://blog.haveninlipa.com/indoor-things-to-do-in-lipa-city-when-it-rains/</t>
        </is>
      </c>
      <c r="H39" s="44" t="n">
        <v>16</v>
      </c>
      <c r="I39" s="7" t="inlineStr">
        <is>
          <t>Published</t>
        </is>
      </c>
      <c r="J39" s="36" t="inlineStr">
        <is>
          <t>Y</t>
        </is>
      </c>
      <c r="K39" s="36" t="n">
        <v>0</v>
      </c>
      <c r="L39" s="78">
        <f>IF(AND(K39&gt;=11,K39&lt;=20),"Striking distance","")</f>
        <v/>
      </c>
      <c r="M39" s="36" t="n">
        <v>0</v>
      </c>
      <c r="N39" s="36" t="n">
        <v>0</v>
      </c>
      <c r="O39" s="36" t="n">
        <v>0</v>
      </c>
      <c r="P39" s="15" t="n">
        <v>46244</v>
      </c>
      <c r="Q39" s="36" t="inlineStr">
        <is>
          <t>PRIMARY. Rainy/indoor variant; NOT 'things to do in lipa city' (owned by #1) to avoid cannibalization.</t>
        </is>
      </c>
    </row>
    <row r="40" ht="28" customHeight="1" s="104">
      <c r="A40" s="36" t="inlineStr">
        <is>
          <t>indoor things to do in lipa city</t>
        </is>
      </c>
      <c r="B40" s="36" t="inlineStr">
        <is>
          <t>Cluster 2 - Things to Do in Lipa</t>
        </is>
      </c>
      <c r="C40" s="36" t="inlineStr">
        <is>
          <t>Informational</t>
        </is>
      </c>
      <c r="D40" s="37" t="inlineStr">
        <is>
          <t>Medium</t>
        </is>
      </c>
      <c r="E40" s="78" t="inlineStr">
        <is>
          <t>Secondary</t>
        </is>
      </c>
      <c r="F40" s="36" t="inlineStr">
        <is>
          <t>https://blog.haveninlipa.com/indoor-things-to-do-in-lipa-city-when-it-rains/</t>
        </is>
      </c>
      <c r="G40" s="32" t="inlineStr">
        <is>
          <t>https://blog.haveninlipa.com/indoor-things-to-do-in-lipa-city-when-it-rains/</t>
        </is>
      </c>
      <c r="H40" s="44" t="n">
        <v>16</v>
      </c>
      <c r="I40" s="7" t="inlineStr">
        <is>
          <t>Published</t>
        </is>
      </c>
      <c r="J40" s="36" t="inlineStr">
        <is>
          <t>Y</t>
        </is>
      </c>
      <c r="K40" s="36" t="n">
        <v>0</v>
      </c>
      <c r="L40" s="78">
        <f>IF(AND(K40&gt;=11,K40&lt;=20),"Striking distance","")</f>
        <v/>
      </c>
      <c r="M40" s="36" t="n">
        <v>0</v>
      </c>
      <c r="N40" s="36" t="n">
        <v>0</v>
      </c>
      <c r="O40" s="36" t="n">
        <v>0</v>
      </c>
      <c r="P40" s="15" t="n">
        <v>46244</v>
      </c>
      <c r="Q40" s="36" t="inlineStr">
        <is>
          <t>Secondary.</t>
        </is>
      </c>
    </row>
    <row r="41" ht="28" customHeight="1" s="104">
      <c r="A41" s="7" t="inlineStr">
        <is>
          <t>rainy day activities lipa batangas</t>
        </is>
      </c>
      <c r="B41" s="36" t="inlineStr">
        <is>
          <t>Cluster 2 - Things to Do in Lipa</t>
        </is>
      </c>
      <c r="C41" s="36" t="inlineStr">
        <is>
          <t>Informational</t>
        </is>
      </c>
      <c r="D41" s="37" t="inlineStr">
        <is>
          <t>Low</t>
        </is>
      </c>
      <c r="E41" s="78" t="inlineStr">
        <is>
          <t>Secondary</t>
        </is>
      </c>
      <c r="F41" s="36" t="inlineStr">
        <is>
          <t>https://blog.haveninlipa.com/indoor-things-to-do-in-lipa-city-when-it-rains/</t>
        </is>
      </c>
      <c r="G41" s="32" t="inlineStr">
        <is>
          <t>https://blog.haveninlipa.com/indoor-things-to-do-in-lipa-city-when-it-rains/</t>
        </is>
      </c>
      <c r="H41" s="44" t="n">
        <v>16</v>
      </c>
      <c r="I41" s="7" t="inlineStr">
        <is>
          <t>Published</t>
        </is>
      </c>
      <c r="J41" s="36" t="inlineStr">
        <is>
          <t>Y</t>
        </is>
      </c>
      <c r="K41" s="36" t="n">
        <v>0</v>
      </c>
      <c r="L41" s="78">
        <f>IF(AND(K41&gt;=11,K41&lt;=20),"Striking distance","")</f>
        <v/>
      </c>
      <c r="M41" s="36" t="n">
        <v>0</v>
      </c>
      <c r="N41" s="36" t="n">
        <v>0</v>
      </c>
      <c r="O41" s="36" t="n">
        <v>0</v>
      </c>
      <c r="P41" s="15" t="n">
        <v>46244</v>
      </c>
      <c r="Q41" s="36" t="inlineStr">
        <is>
          <t>Secondary.</t>
        </is>
      </c>
    </row>
    <row r="42" ht="28" customHeight="1" s="104">
      <c r="A42" s="36" t="inlineStr">
        <is>
          <t>lipa barako coffee</t>
        </is>
      </c>
      <c r="B42" s="36" t="inlineStr">
        <is>
          <t>Cluster 2 - Things to Do in Lipa</t>
        </is>
      </c>
      <c r="C42" s="36" t="inlineStr">
        <is>
          <t>Informational</t>
        </is>
      </c>
      <c r="D42" s="37" t="inlineStr">
        <is>
          <t>Medium</t>
        </is>
      </c>
      <c r="E42" s="80" t="inlineStr">
        <is>
          <t>Primary</t>
        </is>
      </c>
      <c r="F42" s="36" t="inlineStr">
        <is>
          <t>https://blog.haveninlipa.com/lipa-barako-coffee-heritage-where-to-drink/</t>
        </is>
      </c>
      <c r="G42" s="32" t="n"/>
      <c r="H42" s="44" t="n">
        <v>17</v>
      </c>
      <c r="I42" s="7" t="inlineStr">
        <is>
          <t>Published</t>
        </is>
      </c>
      <c r="J42" s="36" t="inlineStr">
        <is>
          <t>Y</t>
        </is>
      </c>
      <c r="K42" s="36" t="n">
        <v>0</v>
      </c>
      <c r="L42" s="78">
        <f>IF(AND(K42&gt;=11,K42&lt;=20),"Striking distance","")</f>
        <v/>
      </c>
      <c r="M42" s="36" t="n">
        <v>0</v>
      </c>
      <c r="N42" s="36" t="n">
        <v>0</v>
      </c>
      <c r="O42" s="36" t="n">
        <v>0</v>
      </c>
      <c r="P42" s="15" t="n">
        <v>46244</v>
      </c>
      <c r="Q42" s="36" t="inlineStr">
        <is>
          <t>PRIMARY. Heritage/attraction; new keyphrase, no existing owner.</t>
        </is>
      </c>
    </row>
    <row r="43" ht="28" customHeight="1" s="104">
      <c r="A43" s="36" t="inlineStr">
        <is>
          <t>coffee capital of the philippines lipa</t>
        </is>
      </c>
      <c r="B43" s="36" t="inlineStr">
        <is>
          <t>Cluster 2 - Things to Do in Lipa</t>
        </is>
      </c>
      <c r="C43" s="36" t="inlineStr">
        <is>
          <t>Informational</t>
        </is>
      </c>
      <c r="D43" s="37" t="inlineStr">
        <is>
          <t>Medium</t>
        </is>
      </c>
      <c r="E43" s="78" t="inlineStr">
        <is>
          <t>Secondary</t>
        </is>
      </c>
      <c r="F43" s="36" t="inlineStr">
        <is>
          <t>https://blog.haveninlipa.com/lipa-barako-coffee-heritage-where-to-drink/</t>
        </is>
      </c>
      <c r="G43" s="32" t="n"/>
      <c r="H43" s="44" t="n">
        <v>17</v>
      </c>
      <c r="I43" s="7" t="inlineStr">
        <is>
          <t>Published</t>
        </is>
      </c>
      <c r="J43" s="36" t="inlineStr">
        <is>
          <t>Y</t>
        </is>
      </c>
      <c r="K43" s="36" t="n">
        <v>0</v>
      </c>
      <c r="L43" s="78">
        <f>IF(AND(K43&gt;=11,K43&lt;=20),"Striking distance","")</f>
        <v/>
      </c>
      <c r="M43" s="36" t="n">
        <v>0</v>
      </c>
      <c r="N43" s="36" t="n">
        <v>0</v>
      </c>
      <c r="O43" s="36" t="n">
        <v>0</v>
      </c>
      <c r="P43" s="15" t="n">
        <v>46244</v>
      </c>
      <c r="Q43" s="36" t="inlineStr">
        <is>
          <t>Secondary.</t>
        </is>
      </c>
    </row>
    <row r="44" ht="28" customHeight="1" s="104">
      <c r="A44" s="7" t="inlineStr">
        <is>
          <t>where to drink barako coffee lipa</t>
        </is>
      </c>
      <c r="B44" s="36" t="inlineStr">
        <is>
          <t>Cluster 2 - Things to Do in Lipa</t>
        </is>
      </c>
      <c r="C44" s="36" t="inlineStr">
        <is>
          <t>Commercial</t>
        </is>
      </c>
      <c r="D44" s="37" t="inlineStr">
        <is>
          <t>Low</t>
        </is>
      </c>
      <c r="E44" s="78" t="inlineStr">
        <is>
          <t>Secondary</t>
        </is>
      </c>
      <c r="F44" s="36" t="inlineStr">
        <is>
          <t>https://blog.haveninlipa.com/lipa-barako-coffee-heritage-where-to-drink/</t>
        </is>
      </c>
      <c r="G44" s="32" t="n"/>
      <c r="H44" s="44" t="n">
        <v>17</v>
      </c>
      <c r="I44" s="7" t="inlineStr">
        <is>
          <t>Published</t>
        </is>
      </c>
      <c r="J44" s="36" t="inlineStr">
        <is>
          <t>Y</t>
        </is>
      </c>
      <c r="K44" s="36" t="n">
        <v>0</v>
      </c>
      <c r="L44" s="78">
        <f>IF(AND(K44&gt;=11,K44&lt;=20),"Striking distance","")</f>
        <v/>
      </c>
      <c r="M44" s="36" t="n">
        <v>0</v>
      </c>
      <c r="N44" s="36" t="n">
        <v>0</v>
      </c>
      <c r="O44" s="36" t="n">
        <v>0</v>
      </c>
      <c r="P44" s="15" t="n">
        <v>46244</v>
      </c>
      <c r="Q44" s="36" t="inlineStr">
        <is>
          <t>Secondary.</t>
        </is>
      </c>
    </row>
    <row r="45" ht="28" customHeight="1" s="104">
      <c r="A45" s="7" t="inlineStr">
        <is>
          <t>best lomi in lipa</t>
        </is>
      </c>
      <c r="B45" s="36" t="inlineStr">
        <is>
          <t>Cluster 4 - Travel Planning &amp; Logistics</t>
        </is>
      </c>
      <c r="C45" s="36" t="inlineStr">
        <is>
          <t>Informational</t>
        </is>
      </c>
      <c r="D45" s="37" t="inlineStr">
        <is>
          <t>Medium</t>
        </is>
      </c>
      <c r="E45" s="80" t="inlineStr">
        <is>
          <t>Primary</t>
        </is>
      </c>
      <c r="F45" s="36" t="inlineStr">
        <is>
          <t>https://blog.haveninlipa.com/best-lomi-lipa-city/</t>
        </is>
      </c>
      <c r="G45" s="32" t="inlineStr">
        <is>
          <t>best-lomi-lipa-city</t>
        </is>
      </c>
      <c r="H45" s="44" t="n">
        <v>18</v>
      </c>
      <c r="I45" s="7" t="inlineStr">
        <is>
          <t>Published</t>
        </is>
      </c>
      <c r="J45" s="36" t="inlineStr">
        <is>
          <t>Y</t>
        </is>
      </c>
      <c r="K45" s="36" t="n">
        <v>10.5</v>
      </c>
      <c r="L45" s="78" t="n"/>
      <c r="M45" s="36" t="n">
        <v>189</v>
      </c>
      <c r="N45" s="36" t="n">
        <v>2</v>
      </c>
      <c r="O45" s="102" t="n">
        <v>0.011</v>
      </c>
      <c r="P45" s="15" t="n">
        <v>46244</v>
      </c>
      <c r="Q45" s="36" t="inlineStr">
        <is>
          <t>PRIMARY. Dish-specific; distinct from 'best restaurants in lipa'/'lipa city food trip' (#5) to avoid cannibalization.</t>
        </is>
      </c>
    </row>
    <row r="46" ht="28" customHeight="1" s="104">
      <c r="A46" s="36" t="inlineStr">
        <is>
          <t>lomi lipa city</t>
        </is>
      </c>
      <c r="B46" s="36" t="inlineStr">
        <is>
          <t>Cluster 4 - Travel Planning &amp; Logistics</t>
        </is>
      </c>
      <c r="C46" s="36" t="inlineStr">
        <is>
          <t>Informational</t>
        </is>
      </c>
      <c r="D46" s="37" t="inlineStr">
        <is>
          <t>Medium</t>
        </is>
      </c>
      <c r="E46" s="78" t="inlineStr">
        <is>
          <t>Secondary</t>
        </is>
      </c>
      <c r="F46" s="36" t="inlineStr">
        <is>
          <t>https://blog.haveninlipa.com/best-lomi-lipa-city/</t>
        </is>
      </c>
      <c r="G46" s="32" t="inlineStr">
        <is>
          <t>best-lomi-lipa-city</t>
        </is>
      </c>
      <c r="H46" s="44" t="n">
        <v>18</v>
      </c>
      <c r="I46" s="7" t="inlineStr">
        <is>
          <t>Published</t>
        </is>
      </c>
      <c r="J46" s="36" t="inlineStr">
        <is>
          <t>Y</t>
        </is>
      </c>
      <c r="K46" s="36" t="n">
        <v>0</v>
      </c>
      <c r="L46" s="78">
        <f>IF(AND(K46&gt;=11,K46&lt;=20),"Striking distance","")</f>
        <v/>
      </c>
      <c r="M46" s="36" t="n">
        <v>0</v>
      </c>
      <c r="N46" s="36" t="n">
        <v>0</v>
      </c>
      <c r="O46" s="36" t="n">
        <v>0</v>
      </c>
      <c r="P46" s="15" t="n">
        <v>46244</v>
      </c>
      <c r="Q46" s="36" t="inlineStr">
        <is>
          <t>Secondary.</t>
        </is>
      </c>
    </row>
    <row r="47" ht="28" customHeight="1" s="104">
      <c r="A47" s="36" t="inlineStr">
        <is>
          <t>beegees lomi lipa</t>
        </is>
      </c>
      <c r="B47" s="36" t="inlineStr">
        <is>
          <t>Cluster 4 - Travel Planning &amp; Logistics</t>
        </is>
      </c>
      <c r="C47" s="36" t="inlineStr">
        <is>
          <t>Branded/Local</t>
        </is>
      </c>
      <c r="D47" s="37" t="inlineStr">
        <is>
          <t>Low</t>
        </is>
      </c>
      <c r="E47" s="78" t="inlineStr">
        <is>
          <t>Secondary</t>
        </is>
      </c>
      <c r="F47" s="36" t="inlineStr">
        <is>
          <t>https://blog.haveninlipa.com/best-lomi-lipa-city/</t>
        </is>
      </c>
      <c r="G47" s="32" t="inlineStr">
        <is>
          <t>best-lomi-lipa-city</t>
        </is>
      </c>
      <c r="H47" s="44" t="n">
        <v>18</v>
      </c>
      <c r="I47" s="7" t="inlineStr">
        <is>
          <t>Published</t>
        </is>
      </c>
      <c r="J47" s="36" t="inlineStr">
        <is>
          <t>Y</t>
        </is>
      </c>
      <c r="K47" s="36" t="n">
        <v>0</v>
      </c>
      <c r="L47" s="78">
        <f>IF(AND(K47&gt;=11,K47&lt;=20),"Striking distance","")</f>
        <v/>
      </c>
      <c r="M47" s="36" t="n">
        <v>0</v>
      </c>
      <c r="N47" s="36" t="n">
        <v>0</v>
      </c>
      <c r="O47" s="36" t="n">
        <v>0</v>
      </c>
      <c r="P47" s="15" t="n">
        <v>46244</v>
      </c>
      <c r="Q47" s="36" t="inlineStr">
        <is>
          <t>Secondary (named business).</t>
        </is>
      </c>
    </row>
    <row r="48" ht="45" customHeight="1" s="104">
      <c r="A48" s="34" t="inlineStr">
        <is>
          <t>work from lipa</t>
        </is>
      </c>
      <c r="B48" s="32" t="inlineStr">
        <is>
          <t>Cluster 3 - Weekend Getaway / Audience</t>
        </is>
      </c>
      <c r="C48" s="32" t="inlineStr">
        <is>
          <t>Commercial</t>
        </is>
      </c>
      <c r="D48" s="33" t="inlineStr">
        <is>
          <t>Medium</t>
        </is>
      </c>
      <c r="E48" s="80" t="inlineStr">
        <is>
          <t>Primary</t>
        </is>
      </c>
      <c r="F48" s="32" t="inlineStr">
        <is>
          <t>https://blog.haveninlipa.com/work-from-lipa-rainy-season-july/</t>
        </is>
      </c>
      <c r="G48" s="32" t="n"/>
      <c r="H48" s="44" t="n">
        <v>19</v>
      </c>
      <c r="I48" s="7" t="inlineStr">
        <is>
          <t>Published</t>
        </is>
      </c>
      <c r="J48" s="32" t="inlineStr">
        <is>
          <t>Y</t>
        </is>
      </c>
      <c r="K48" s="32" t="n">
        <v>0</v>
      </c>
      <c r="L48" s="78">
        <f>IF(AND(K48&gt;=11,K48&lt;=20),"Striking distance","")</f>
        <v/>
      </c>
      <c r="M48" s="32" t="n">
        <v>0</v>
      </c>
      <c r="N48" s="32" t="n">
        <v>0</v>
      </c>
      <c r="O48" s="32" t="n">
        <v>0</v>
      </c>
      <c r="P48" s="15" t="n">
        <v>46244</v>
      </c>
      <c r="Q48" s="32" t="inlineStr">
        <is>
          <t>PRIMARY. Seasonal rainy-season angle; complements (not duplicates) #9 'remote work staycation philippines' — keep distinct + cross-link.</t>
        </is>
      </c>
    </row>
    <row r="49" ht="30" customHeight="1" s="104">
      <c r="A49" s="32" t="inlineStr">
        <is>
          <t>work from lipa rainy season</t>
        </is>
      </c>
      <c r="B49" s="32" t="inlineStr">
        <is>
          <t>Cluster 3 - Weekend Getaway / Audience</t>
        </is>
      </c>
      <c r="C49" s="32" t="inlineStr">
        <is>
          <t>Commercial</t>
        </is>
      </c>
      <c r="D49" s="33" t="inlineStr">
        <is>
          <t>Low</t>
        </is>
      </c>
      <c r="E49" s="78" t="inlineStr">
        <is>
          <t>Secondary</t>
        </is>
      </c>
      <c r="F49" s="32" t="inlineStr">
        <is>
          <t>https://blog.haveninlipa.com/work-from-lipa-rainy-season-july/</t>
        </is>
      </c>
      <c r="G49" s="32" t="n"/>
      <c r="H49" s="44" t="n">
        <v>19</v>
      </c>
      <c r="I49" s="7" t="inlineStr">
        <is>
          <t>Published</t>
        </is>
      </c>
      <c r="J49" s="32" t="inlineStr">
        <is>
          <t>Y</t>
        </is>
      </c>
      <c r="K49" s="32" t="n">
        <v>0</v>
      </c>
      <c r="L49" s="78">
        <f>IF(AND(K49&gt;=11,K49&lt;=20),"Striking distance","")</f>
        <v/>
      </c>
      <c r="M49" s="32" t="n">
        <v>0</v>
      </c>
      <c r="N49" s="32" t="n">
        <v>0</v>
      </c>
      <c r="O49" s="32" t="n">
        <v>0</v>
      </c>
      <c r="P49" s="15" t="n">
        <v>46244</v>
      </c>
      <c r="Q49" s="32" t="inlineStr">
        <is>
          <t>Secondary.</t>
        </is>
      </c>
    </row>
    <row r="50" ht="30" customHeight="1" s="104">
      <c r="A50" s="32" t="inlineStr">
        <is>
          <t>workation lipa batangas</t>
        </is>
      </c>
      <c r="B50" s="32" t="inlineStr">
        <is>
          <t>Cluster 3 - Weekend Getaway / Audience</t>
        </is>
      </c>
      <c r="C50" s="32" t="inlineStr">
        <is>
          <t>Commercial</t>
        </is>
      </c>
      <c r="D50" s="33" t="inlineStr">
        <is>
          <t>Low</t>
        </is>
      </c>
      <c r="E50" s="78" t="inlineStr">
        <is>
          <t>Secondary</t>
        </is>
      </c>
      <c r="F50" s="32" t="inlineStr">
        <is>
          <t>https://blog.haveninlipa.com/work-from-lipa-rainy-season-july/</t>
        </is>
      </c>
      <c r="G50" s="32" t="n"/>
      <c r="H50" s="44" t="n">
        <v>19</v>
      </c>
      <c r="I50" s="7" t="inlineStr">
        <is>
          <t>Published</t>
        </is>
      </c>
      <c r="J50" s="32" t="inlineStr">
        <is>
          <t>Y</t>
        </is>
      </c>
      <c r="K50" s="32" t="n">
        <v>0</v>
      </c>
      <c r="L50" s="78">
        <f>IF(AND(K50&gt;=11,K50&lt;=20),"Striking distance","")</f>
        <v/>
      </c>
      <c r="M50" s="32" t="n">
        <v>0</v>
      </c>
      <c r="N50" s="32" t="n">
        <v>0</v>
      </c>
      <c r="O50" s="32" t="n">
        <v>0</v>
      </c>
      <c r="P50" s="15" t="n">
        <v>46244</v>
      </c>
      <c r="Q50" s="32" t="inlineStr">
        <is>
          <t>Secondary.</t>
        </is>
      </c>
    </row>
    <row r="51" ht="30" customHeight="1" s="104">
      <c r="A51" s="32" t="inlineStr">
        <is>
          <t>lipa vs tagaytay</t>
        </is>
      </c>
      <c r="B51" s="32" t="inlineStr">
        <is>
          <t>Cluster 3 - Weekend Getaway / Audience</t>
        </is>
      </c>
      <c r="C51" s="32" t="inlineStr">
        <is>
          <t>Commercial</t>
        </is>
      </c>
      <c r="D51" s="33" t="inlineStr">
        <is>
          <t>High</t>
        </is>
      </c>
      <c r="E51" s="80" t="inlineStr">
        <is>
          <t>Primary</t>
        </is>
      </c>
      <c r="F51" s="32" t="inlineStr">
        <is>
          <t>https://blog.haveninlipa.com/lipa-vs-tagaytay-an-honest-comparison-from-a-host-who-lives-in-lipa/</t>
        </is>
      </c>
      <c r="G51" s="32" t="inlineStr">
        <is>
          <t>https://blog.haveninlipa.com/lipa-vs-tagaytay-an-honest-comparison-from-a-host-who-lives-in-lipa/</t>
        </is>
      </c>
      <c r="H51" s="44" t="n">
        <v>20</v>
      </c>
      <c r="I51" s="32" t="inlineStr">
        <is>
          <t>Published</t>
        </is>
      </c>
      <c r="J51" s="32" t="inlineStr">
        <is>
          <t>Y</t>
        </is>
      </c>
      <c r="K51" s="32" t="n">
        <v>0</v>
      </c>
      <c r="L51" s="78">
        <f>IF(AND(K51&gt;=11,K51&lt;=20),"Striking distance","")</f>
        <v/>
      </c>
      <c r="M51" s="32" t="n">
        <v>0</v>
      </c>
      <c r="N51" s="32" t="n">
        <v>0</v>
      </c>
      <c r="O51" s="32" t="n">
        <v>0</v>
      </c>
      <c r="P51" s="15" t="n">
        <v>46244</v>
      </c>
      <c r="Q51" s="32" t="inlineStr">
        <is>
          <t>PRIMARY. High-intent comparison; reinforces anti-Tagaytay wedge.</t>
        </is>
      </c>
    </row>
    <row r="52" ht="30" customHeight="1" s="104">
      <c r="A52" s="32" t="inlineStr">
        <is>
          <t>tagaytay alternative weekend getaway</t>
        </is>
      </c>
      <c r="B52" s="32" t="inlineStr">
        <is>
          <t>Cluster 3 - Weekend Getaway / Audience</t>
        </is>
      </c>
      <c r="C52" s="32" t="inlineStr">
        <is>
          <t>Commercial</t>
        </is>
      </c>
      <c r="D52" s="33" t="inlineStr">
        <is>
          <t>Medium</t>
        </is>
      </c>
      <c r="E52" s="78" t="inlineStr">
        <is>
          <t>Secondary</t>
        </is>
      </c>
      <c r="F52" s="32" t="inlineStr">
        <is>
          <t>https://blog.haveninlipa.com/lipa-vs-tagaytay-an-honest-comparison-from-a-host-who-lives-in-lipa/</t>
        </is>
      </c>
      <c r="G52" s="32" t="inlineStr">
        <is>
          <t>https://blog.haveninlipa.com/lipa-vs-tagaytay-an-honest-comparison-from-a-host-who-lives-in-lipa/</t>
        </is>
      </c>
      <c r="H52" s="44" t="n">
        <v>20</v>
      </c>
      <c r="I52" s="32" t="inlineStr">
        <is>
          <t>Published</t>
        </is>
      </c>
      <c r="J52" s="32" t="inlineStr">
        <is>
          <t>Y</t>
        </is>
      </c>
      <c r="K52" s="32" t="n">
        <v>0</v>
      </c>
      <c r="L52" s="78">
        <f>IF(AND(K52&gt;=11,K52&lt;=20),"Striking distance","")</f>
        <v/>
      </c>
      <c r="M52" s="32" t="n">
        <v>0</v>
      </c>
      <c r="N52" s="32" t="n">
        <v>0</v>
      </c>
      <c r="O52" s="32" t="n">
        <v>0</v>
      </c>
      <c r="P52" s="15" t="n">
        <v>46244</v>
      </c>
      <c r="Q52" s="32" t="inlineStr">
        <is>
          <t>Secondary.</t>
        </is>
      </c>
    </row>
    <row r="53" ht="30" customHeight="1" s="104">
      <c r="A53" s="34" t="inlineStr">
        <is>
          <t>lipa or tagaytay which is better</t>
        </is>
      </c>
      <c r="B53" s="32" t="inlineStr">
        <is>
          <t>Cluster 3 - Weekend Getaway / Audience</t>
        </is>
      </c>
      <c r="C53" s="32" t="inlineStr">
        <is>
          <t>Informational</t>
        </is>
      </c>
      <c r="D53" s="33" t="inlineStr">
        <is>
          <t>Low</t>
        </is>
      </c>
      <c r="E53" s="78" t="inlineStr">
        <is>
          <t>Secondary</t>
        </is>
      </c>
      <c r="F53" s="32" t="inlineStr">
        <is>
          <t>https://blog.haveninlipa.com/lipa-vs-tagaytay-an-honest-comparison-from-a-host-who-lives-in-lipa/</t>
        </is>
      </c>
      <c r="G53" s="32" t="inlineStr">
        <is>
          <t>https://blog.haveninlipa.com/lipa-vs-tagaytay-an-honest-comparison-from-a-host-who-lives-in-lipa/</t>
        </is>
      </c>
      <c r="H53" s="44" t="n">
        <v>20</v>
      </c>
      <c r="I53" s="32" t="inlineStr">
        <is>
          <t>Published</t>
        </is>
      </c>
      <c r="J53" s="32" t="inlineStr">
        <is>
          <t>Y</t>
        </is>
      </c>
      <c r="K53" s="32" t="n">
        <v>0</v>
      </c>
      <c r="L53" s="78">
        <f>IF(AND(K53&gt;=11,K53&lt;=20),"Striking distance","")</f>
        <v/>
      </c>
      <c r="M53" s="32" t="n">
        <v>0</v>
      </c>
      <c r="N53" s="32" t="n">
        <v>0</v>
      </c>
      <c r="O53" s="32" t="n">
        <v>0</v>
      </c>
      <c r="P53" s="15" t="n">
        <v>46244</v>
      </c>
      <c r="Q53" s="32" t="inlineStr">
        <is>
          <t>Secondary.</t>
        </is>
      </c>
    </row>
    <row r="54" ht="30" customHeight="1" s="104">
      <c r="A54" s="34" t="inlineStr">
        <is>
          <t>casa de segunda lipa</t>
        </is>
      </c>
      <c r="B54" s="32" t="inlineStr">
        <is>
          <t>Cluster 2 - Things to Do in Lipa</t>
        </is>
      </c>
      <c r="C54" s="32" t="inlineStr">
        <is>
          <t>Informational</t>
        </is>
      </c>
      <c r="D54" s="33" t="inlineStr">
        <is>
          <t>Medium</t>
        </is>
      </c>
      <c r="E54" s="80" t="inlineStr">
        <is>
          <t>Primary</t>
        </is>
      </c>
      <c r="F54" s="32" t="inlineStr">
        <is>
          <t>https://blog.haveninlipa.com/casa-de-segunda-lipa-city/</t>
        </is>
      </c>
      <c r="G54" s="32" t="inlineStr">
        <is>
          <t>https://blog.haveninlipa.com/casa-de-segunda-lipa-city/</t>
        </is>
      </c>
      <c r="H54" s="44" t="n">
        <v>21</v>
      </c>
      <c r="I54" s="32" t="inlineStr">
        <is>
          <t>Published</t>
        </is>
      </c>
      <c r="J54" s="32" t="inlineStr">
        <is>
          <t>Y</t>
        </is>
      </c>
      <c r="K54" s="32" t="n">
        <v>0</v>
      </c>
      <c r="L54" s="78">
        <f>IF(AND(K54&gt;=11,K54&lt;=20),"Striking distance","")</f>
        <v/>
      </c>
      <c r="M54" s="32" t="n">
        <v>0</v>
      </c>
      <c r="N54" s="32" t="n">
        <v>0</v>
      </c>
      <c r="O54" s="32" t="n">
        <v>0</v>
      </c>
      <c r="P54" s="15" t="n">
        <v>46244</v>
      </c>
      <c r="Q54" s="32" t="inlineStr">
        <is>
          <t>PRIMARY. Heritage attraction; new keyphrase.</t>
        </is>
      </c>
    </row>
    <row r="55" ht="30" customHeight="1" s="104">
      <c r="A55" s="32" t="inlineStr">
        <is>
          <t>lipa heritage houses</t>
        </is>
      </c>
      <c r="B55" s="32" t="inlineStr">
        <is>
          <t>Cluster 2 - Things to Do in Lipa</t>
        </is>
      </c>
      <c r="C55" s="32" t="inlineStr">
        <is>
          <t>Informational</t>
        </is>
      </c>
      <c r="D55" s="33" t="inlineStr">
        <is>
          <t>Low</t>
        </is>
      </c>
      <c r="E55" s="78" t="inlineStr">
        <is>
          <t>Secondary</t>
        </is>
      </c>
      <c r="F55" s="32" t="inlineStr">
        <is>
          <t>https://blog.haveninlipa.com/casa-de-segunda-lipa-city/</t>
        </is>
      </c>
      <c r="G55" s="32" t="inlineStr">
        <is>
          <t>https://blog.haveninlipa.com/casa-de-segunda-lipa-city/</t>
        </is>
      </c>
      <c r="H55" s="44" t="n">
        <v>21</v>
      </c>
      <c r="I55" s="32" t="inlineStr">
        <is>
          <t>Published</t>
        </is>
      </c>
      <c r="J55" s="32" t="inlineStr">
        <is>
          <t>Y</t>
        </is>
      </c>
      <c r="K55" s="32" t="n">
        <v>0</v>
      </c>
      <c r="L55" s="78">
        <f>IF(AND(K55&gt;=11,K55&lt;=20),"Striking distance","")</f>
        <v/>
      </c>
      <c r="M55" s="32" t="n">
        <v>0</v>
      </c>
      <c r="N55" s="32" t="n">
        <v>0</v>
      </c>
      <c r="O55" s="32" t="n">
        <v>0</v>
      </c>
      <c r="P55" s="15" t="n">
        <v>46244</v>
      </c>
      <c r="Q55" s="32" t="inlineStr">
        <is>
          <t>Secondary.</t>
        </is>
      </c>
    </row>
    <row r="56" ht="30" customHeight="1" s="104">
      <c r="A56" s="32" t="inlineStr">
        <is>
          <t>spanish-era houses lipa batangas</t>
        </is>
      </c>
      <c r="B56" s="32" t="inlineStr">
        <is>
          <t>Cluster 2 - Things to Do in Lipa</t>
        </is>
      </c>
      <c r="C56" s="32" t="inlineStr">
        <is>
          <t>Informational</t>
        </is>
      </c>
      <c r="D56" s="33" t="inlineStr">
        <is>
          <t>Low</t>
        </is>
      </c>
      <c r="E56" s="78" t="inlineStr">
        <is>
          <t>Secondary</t>
        </is>
      </c>
      <c r="F56" s="32" t="inlineStr">
        <is>
          <t>https://blog.haveninlipa.com/casa-de-segunda-lipa-city/</t>
        </is>
      </c>
      <c r="G56" s="32" t="inlineStr">
        <is>
          <t>https://blog.haveninlipa.com/casa-de-segunda-lipa-city/</t>
        </is>
      </c>
      <c r="H56" s="44" t="n">
        <v>21</v>
      </c>
      <c r="I56" s="32" t="inlineStr">
        <is>
          <t>Published</t>
        </is>
      </c>
      <c r="J56" s="32" t="inlineStr">
        <is>
          <t>Y</t>
        </is>
      </c>
      <c r="K56" s="32" t="n">
        <v>0</v>
      </c>
      <c r="L56" s="78">
        <f>IF(AND(K56&gt;=11,K56&lt;=20),"Striking distance","")</f>
        <v/>
      </c>
      <c r="M56" s="32" t="n">
        <v>0</v>
      </c>
      <c r="N56" s="32" t="n">
        <v>0</v>
      </c>
      <c r="O56" s="32" t="n">
        <v>0</v>
      </c>
      <c r="P56" s="15" t="n">
        <v>46244</v>
      </c>
      <c r="Q56" s="32" t="inlineStr">
        <is>
          <t>Secondary.</t>
        </is>
      </c>
    </row>
    <row r="57" ht="45" customHeight="1" s="104">
      <c r="A57" s="34" t="inlineStr">
        <is>
          <t>carmel of lipa</t>
        </is>
      </c>
      <c r="B57" s="32" t="inlineStr">
        <is>
          <t>Cluster 2 - Things to Do in Lipa</t>
        </is>
      </c>
      <c r="C57" s="32" t="inlineStr">
        <is>
          <t>Informational</t>
        </is>
      </c>
      <c r="D57" s="33" t="inlineStr">
        <is>
          <t>Medium</t>
        </is>
      </c>
      <c r="E57" s="80" t="inlineStr">
        <is>
          <t>Primary</t>
        </is>
      </c>
      <c r="F57" s="32" t="inlineStr">
        <is>
          <t>https://blog.haveninlipa.com/lipa-pilgrimage-guide/</t>
        </is>
      </c>
      <c r="G57" s="32" t="inlineStr">
        <is>
          <t>https://blog.haveninlipa.com/lipa-pilgrimage-guide/</t>
        </is>
      </c>
      <c r="H57" s="44" t="n">
        <v>22</v>
      </c>
      <c r="I57" s="32" t="inlineStr">
        <is>
          <t>Published</t>
        </is>
      </c>
      <c r="J57" s="32" t="inlineStr">
        <is>
          <t>Y</t>
        </is>
      </c>
      <c r="K57" s="32" t="n">
        <v>0</v>
      </c>
      <c r="L57" s="78">
        <f>IF(AND(K57&gt;=11,K57&lt;=20),"Striking distance","")</f>
        <v/>
      </c>
      <c r="M57" s="32" t="n">
        <v>0</v>
      </c>
      <c r="N57" s="32" t="n">
        <v>0</v>
      </c>
      <c r="O57" s="32" t="n">
        <v>0</v>
      </c>
      <c r="P57" s="15" t="n">
        <v>46244</v>
      </c>
      <c r="Q57" s="32" t="inlineStr">
        <is>
          <t>PRIMARY. Evergreen pilgrimage; distinct from 'holy week getaway lipa' (#8, seasonal) to avoid cannibalization.</t>
        </is>
      </c>
    </row>
    <row r="58" ht="30" customHeight="1" s="104">
      <c r="A58" s="34" t="inlineStr">
        <is>
          <t>lipa pilgrimage</t>
        </is>
      </c>
      <c r="B58" s="32" t="inlineStr">
        <is>
          <t>Cluster 2 - Things to Do in Lipa</t>
        </is>
      </c>
      <c r="C58" s="32" t="inlineStr">
        <is>
          <t>Seasonal</t>
        </is>
      </c>
      <c r="D58" s="33" t="inlineStr">
        <is>
          <t>Medium</t>
        </is>
      </c>
      <c r="E58" s="78" t="inlineStr">
        <is>
          <t>Secondary</t>
        </is>
      </c>
      <c r="F58" s="32" t="inlineStr">
        <is>
          <t>https://blog.haveninlipa.com/lipa-pilgrimage-guide/</t>
        </is>
      </c>
      <c r="G58" s="32" t="inlineStr">
        <is>
          <t>https://blog.haveninlipa.com/lipa-pilgrimage-guide/</t>
        </is>
      </c>
      <c r="H58" s="44" t="n">
        <v>22</v>
      </c>
      <c r="I58" s="32" t="inlineStr">
        <is>
          <t>Published</t>
        </is>
      </c>
      <c r="J58" s="32" t="inlineStr">
        <is>
          <t>Y</t>
        </is>
      </c>
      <c r="K58" s="32" t="n">
        <v>0</v>
      </c>
      <c r="L58" s="78">
        <f>IF(AND(K58&gt;=11,K58&lt;=20),"Striking distance","")</f>
        <v/>
      </c>
      <c r="M58" s="32" t="n">
        <v>0</v>
      </c>
      <c r="N58" s="32" t="n">
        <v>0</v>
      </c>
      <c r="O58" s="32" t="n">
        <v>0</v>
      </c>
      <c r="P58" s="15" t="n">
        <v>46244</v>
      </c>
      <c r="Q58" s="32" t="inlineStr">
        <is>
          <t>Secondary.</t>
        </is>
      </c>
    </row>
    <row r="59" ht="30" customHeight="1" s="104">
      <c r="A59" s="32" t="inlineStr">
        <is>
          <t>san sebastian cathedral lipa</t>
        </is>
      </c>
      <c r="B59" s="32" t="inlineStr">
        <is>
          <t>Cluster 2 - Things to Do in Lipa</t>
        </is>
      </c>
      <c r="C59" s="32" t="inlineStr">
        <is>
          <t>Informational</t>
        </is>
      </c>
      <c r="D59" s="33" t="inlineStr">
        <is>
          <t>Low</t>
        </is>
      </c>
      <c r="E59" s="78" t="inlineStr">
        <is>
          <t>Secondary</t>
        </is>
      </c>
      <c r="F59" s="32" t="inlineStr">
        <is>
          <t>https://blog.haveninlipa.com/lipa-pilgrimage-guide/</t>
        </is>
      </c>
      <c r="G59" s="32" t="inlineStr">
        <is>
          <t>https://blog.haveninlipa.com/lipa-pilgrimage-guide/</t>
        </is>
      </c>
      <c r="H59" s="44" t="n">
        <v>22</v>
      </c>
      <c r="I59" s="32" t="inlineStr">
        <is>
          <t>Published</t>
        </is>
      </c>
      <c r="J59" s="32" t="inlineStr">
        <is>
          <t>Y</t>
        </is>
      </c>
      <c r="K59" s="32" t="n">
        <v>0</v>
      </c>
      <c r="L59" s="78">
        <f>IF(AND(K59&gt;=11,K59&lt;=20),"Striking distance","")</f>
        <v/>
      </c>
      <c r="M59" s="32" t="n">
        <v>0</v>
      </c>
      <c r="N59" s="32" t="n">
        <v>0</v>
      </c>
      <c r="O59" s="32" t="n">
        <v>0</v>
      </c>
      <c r="P59" s="15" t="n">
        <v>46244</v>
      </c>
      <c r="Q59" s="32" t="inlineStr">
        <is>
          <t>Secondary.</t>
        </is>
      </c>
    </row>
    <row r="60" ht="60" customHeight="1" s="104">
      <c r="A60" s="32" t="inlineStr">
        <is>
          <t>august long weekend lipa 2026</t>
        </is>
      </c>
      <c r="B60" s="32" t="inlineStr">
        <is>
          <t>Cluster 3 - Weekend Getaway / Audience</t>
        </is>
      </c>
      <c r="C60" s="32" t="inlineStr">
        <is>
          <t>Seasonal</t>
        </is>
      </c>
      <c r="D60" s="33" t="inlineStr">
        <is>
          <t>High</t>
        </is>
      </c>
      <c r="E60" s="80" t="inlineStr">
        <is>
          <t>Primary</t>
        </is>
      </c>
      <c r="F60" s="32" t="inlineStr">
        <is>
          <t>https://blog.haveninlipa.com/august-long-weekends-lipa-city-2026/</t>
        </is>
      </c>
      <c r="G60" s="32" t="inlineStr">
        <is>
          <t>https://blog.haveninlipa.com/august-long-weekends-lipa-city-2026/</t>
        </is>
      </c>
      <c r="H60" s="44" t="n">
        <v>23</v>
      </c>
      <c r="I60" s="32" t="inlineStr">
        <is>
          <t>Published</t>
        </is>
      </c>
      <c r="J60" s="32" t="inlineStr">
        <is>
          <t>Y</t>
        </is>
      </c>
      <c r="K60" s="32" t="n">
        <v>0</v>
      </c>
      <c r="L60" s="78">
        <f>IF(AND(K60&gt;=11,K60&lt;=20),"Striking distance","")</f>
        <v/>
      </c>
      <c r="M60" s="32" t="n">
        <v>0</v>
      </c>
      <c r="N60" s="32" t="n">
        <v>0</v>
      </c>
      <c r="O60" s="32" t="n">
        <v>0</v>
      </c>
      <c r="P60" s="15" t="n">
        <v>46244</v>
      </c>
      <c r="Q60" s="32" t="inlineStr">
        <is>
          <t>PRIMARY. HUB for both Aug holidays; owns the generic August-long-weekend term. #25/#26 own the individual holidays — split to avoid cannibalization.</t>
        </is>
      </c>
    </row>
    <row r="61" ht="30" customHeight="1" s="104">
      <c r="A61" s="32" t="inlineStr">
        <is>
          <t>august long weekends philippines 2026</t>
        </is>
      </c>
      <c r="B61" s="32" t="inlineStr">
        <is>
          <t>Cluster 3 - Weekend Getaway / Audience</t>
        </is>
      </c>
      <c r="C61" s="32" t="inlineStr">
        <is>
          <t>Seasonal</t>
        </is>
      </c>
      <c r="D61" s="33" t="inlineStr">
        <is>
          <t>Medium</t>
        </is>
      </c>
      <c r="E61" s="78" t="inlineStr">
        <is>
          <t>Secondary</t>
        </is>
      </c>
      <c r="F61" s="32" t="inlineStr">
        <is>
          <t>https://blog.haveninlipa.com/august-long-weekends-lipa-city-2026/</t>
        </is>
      </c>
      <c r="G61" s="32" t="inlineStr">
        <is>
          <t>https://blog.haveninlipa.com/august-long-weekends-lipa-city-2026/</t>
        </is>
      </c>
      <c r="H61" s="44" t="n">
        <v>23</v>
      </c>
      <c r="I61" s="32" t="inlineStr">
        <is>
          <t>Published</t>
        </is>
      </c>
      <c r="J61" s="32" t="inlineStr">
        <is>
          <t>Y</t>
        </is>
      </c>
      <c r="K61" s="32" t="n">
        <v>0</v>
      </c>
      <c r="L61" s="78">
        <f>IF(AND(K61&gt;=11,K61&lt;=20),"Striking distance","")</f>
        <v/>
      </c>
      <c r="M61" s="32" t="n">
        <v>0</v>
      </c>
      <c r="N61" s="32" t="n">
        <v>0</v>
      </c>
      <c r="O61" s="32" t="n">
        <v>0</v>
      </c>
      <c r="P61" s="15" t="n">
        <v>46244</v>
      </c>
      <c r="Q61" s="32" t="inlineStr">
        <is>
          <t>Secondary.</t>
        </is>
      </c>
    </row>
    <row r="62" ht="30" customHeight="1" s="104">
      <c r="A62" s="32" t="inlineStr">
        <is>
          <t>long weekend booking guide lipa</t>
        </is>
      </c>
      <c r="B62" s="32" t="inlineStr">
        <is>
          <t>Cluster 3 - Weekend Getaway / Audience</t>
        </is>
      </c>
      <c r="C62" s="32" t="inlineStr">
        <is>
          <t>Commercial</t>
        </is>
      </c>
      <c r="D62" s="33" t="inlineStr">
        <is>
          <t>Low</t>
        </is>
      </c>
      <c r="E62" s="78" t="inlineStr">
        <is>
          <t>Secondary</t>
        </is>
      </c>
      <c r="F62" s="32" t="inlineStr">
        <is>
          <t>https://blog.haveninlipa.com/august-long-weekends-lipa-city-2026/</t>
        </is>
      </c>
      <c r="G62" s="32" t="inlineStr">
        <is>
          <t>https://blog.haveninlipa.com/august-long-weekends-lipa-city-2026/</t>
        </is>
      </c>
      <c r="H62" s="44" t="n">
        <v>23</v>
      </c>
      <c r="I62" s="32" t="inlineStr">
        <is>
          <t>Published</t>
        </is>
      </c>
      <c r="J62" s="32" t="inlineStr">
        <is>
          <t>Y</t>
        </is>
      </c>
      <c r="K62" s="32" t="n">
        <v>0</v>
      </c>
      <c r="L62" s="78">
        <f>IF(AND(K62&gt;=11,K62&lt;=20),"Striking distance","")</f>
        <v/>
      </c>
      <c r="M62" s="32" t="n">
        <v>0</v>
      </c>
      <c r="N62" s="32" t="n">
        <v>0</v>
      </c>
      <c r="O62" s="32" t="n">
        <v>0</v>
      </c>
      <c r="P62" s="15" t="n">
        <v>46244</v>
      </c>
      <c r="Q62" s="32" t="inlineStr">
        <is>
          <t>Secondary.</t>
        </is>
      </c>
    </row>
    <row r="63" ht="30" customHeight="1" s="104">
      <c r="A63" s="34" t="inlineStr">
        <is>
          <t>lipa charter day</t>
        </is>
      </c>
      <c r="B63" s="32" t="inlineStr">
        <is>
          <t>Cluster 2 - Things to Do in Lipa</t>
        </is>
      </c>
      <c r="C63" s="32" t="inlineStr">
        <is>
          <t>Informational</t>
        </is>
      </c>
      <c r="D63" s="33" t="inlineStr">
        <is>
          <t>Low</t>
        </is>
      </c>
      <c r="E63" s="80" t="inlineStr">
        <is>
          <t>Primary</t>
        </is>
      </c>
      <c r="F63" s="32" t="inlineStr">
        <is>
          <t>https://blog.haveninlipa.com/lipa-charter-day-history-coffee-town-to-city/</t>
        </is>
      </c>
      <c r="G63" s="32" t="n"/>
      <c r="H63" s="44" t="n">
        <v>24</v>
      </c>
      <c r="I63" s="32" t="inlineStr">
        <is>
          <t>Drafted - Article #24 (publishes Aug 10 2026)</t>
        </is>
      </c>
      <c r="J63" s="32" t="inlineStr">
        <is>
          <t>Y</t>
        </is>
      </c>
      <c r="K63" s="32" t="n">
        <v>0</v>
      </c>
      <c r="L63" s="78">
        <f>IF(AND(K63&gt;=11,K63&lt;=20),"Striking distance","")</f>
        <v/>
      </c>
      <c r="M63" s="32" t="n">
        <v>0</v>
      </c>
      <c r="N63" s="32" t="n">
        <v>0</v>
      </c>
      <c r="O63" s="32" t="n">
        <v>0</v>
      </c>
      <c r="P63" s="15" t="n">
        <v>46244</v>
      </c>
      <c r="Q63" s="32" t="inlineStr">
        <is>
          <t>PRIMARY. History/heritage; new keyphrase.</t>
        </is>
      </c>
    </row>
    <row r="64" ht="30" customHeight="1" s="104">
      <c r="A64" s="32" t="inlineStr">
        <is>
          <t>lipa city history</t>
        </is>
      </c>
      <c r="B64" s="32" t="inlineStr">
        <is>
          <t>Cluster 2 - Things to Do in Lipa</t>
        </is>
      </c>
      <c r="C64" s="32" t="inlineStr">
        <is>
          <t>Informational</t>
        </is>
      </c>
      <c r="D64" s="33" t="inlineStr">
        <is>
          <t>Low</t>
        </is>
      </c>
      <c r="E64" s="78" t="inlineStr">
        <is>
          <t>Secondary</t>
        </is>
      </c>
      <c r="F64" s="32" t="inlineStr">
        <is>
          <t>https://blog.haveninlipa.com/lipa-charter-day-history-coffee-town-to-city/</t>
        </is>
      </c>
      <c r="G64" s="32" t="n"/>
      <c r="H64" s="44" t="n">
        <v>24</v>
      </c>
      <c r="I64" s="32" t="inlineStr">
        <is>
          <t>Drafted - Article #24 (publishes Aug 10 2026)</t>
        </is>
      </c>
      <c r="J64" s="32" t="inlineStr">
        <is>
          <t>Y</t>
        </is>
      </c>
      <c r="K64" s="32" t="n">
        <v>0</v>
      </c>
      <c r="L64" s="78">
        <f>IF(AND(K64&gt;=11,K64&lt;=20),"Striking distance","")</f>
        <v/>
      </c>
      <c r="M64" s="32" t="n">
        <v>0</v>
      </c>
      <c r="N64" s="32" t="n">
        <v>0</v>
      </c>
      <c r="O64" s="32" t="n">
        <v>0</v>
      </c>
      <c r="P64" s="15" t="n">
        <v>46244</v>
      </c>
      <c r="Q64" s="32" t="inlineStr">
        <is>
          <t>Secondary.</t>
        </is>
      </c>
    </row>
    <row r="65" ht="30" customHeight="1" s="104">
      <c r="A65" s="32" t="inlineStr">
        <is>
          <t>when did lipa become a city</t>
        </is>
      </c>
      <c r="B65" s="32" t="inlineStr">
        <is>
          <t>Cluster 2 - Things to Do in Lipa</t>
        </is>
      </c>
      <c r="C65" s="32" t="inlineStr">
        <is>
          <t>Informational</t>
        </is>
      </c>
      <c r="D65" s="33" t="inlineStr">
        <is>
          <t>Low</t>
        </is>
      </c>
      <c r="E65" s="78" t="inlineStr">
        <is>
          <t>Secondary</t>
        </is>
      </c>
      <c r="F65" s="32" t="inlineStr">
        <is>
          <t>https://blog.haveninlipa.com/lipa-charter-day-history-coffee-town-to-city/</t>
        </is>
      </c>
      <c r="G65" s="32" t="n"/>
      <c r="H65" s="44" t="n">
        <v>24</v>
      </c>
      <c r="I65" s="32" t="inlineStr">
        <is>
          <t>Drafted - Article #24 (publishes Aug 10 2026)</t>
        </is>
      </c>
      <c r="J65" s="32" t="inlineStr">
        <is>
          <t>Y</t>
        </is>
      </c>
      <c r="K65" s="32" t="n">
        <v>0</v>
      </c>
      <c r="L65" s="78">
        <f>IF(AND(K65&gt;=11,K65&lt;=20),"Striking distance","")</f>
        <v/>
      </c>
      <c r="M65" s="32" t="n">
        <v>0</v>
      </c>
      <c r="N65" s="32" t="n">
        <v>0</v>
      </c>
      <c r="O65" s="32" t="n">
        <v>0</v>
      </c>
      <c r="P65" s="15" t="n">
        <v>46244</v>
      </c>
      <c r="Q65" s="32" t="inlineStr">
        <is>
          <t>Secondary.</t>
        </is>
      </c>
    </row>
    <row r="66" ht="30" customHeight="1" s="104">
      <c r="A66" s="34" t="inlineStr">
        <is>
          <t>ninoy aquino day long weekend 2026</t>
        </is>
      </c>
      <c r="B66" s="32" t="inlineStr">
        <is>
          <t>Cluster 3 - Weekend Getaway / Audience</t>
        </is>
      </c>
      <c r="C66" s="32" t="inlineStr">
        <is>
          <t>Seasonal</t>
        </is>
      </c>
      <c r="D66" s="33" t="inlineStr">
        <is>
          <t>Medium</t>
        </is>
      </c>
      <c r="E66" s="80" t="inlineStr">
        <is>
          <t>Primary</t>
        </is>
      </c>
      <c r="F66" s="32" t="inlineStr">
        <is>
          <t>https://blog.haveninlipa.com/ninoy-aquino-day-long-weekend-lipa-2026/</t>
        </is>
      </c>
      <c r="G66" s="32" t="n"/>
      <c r="H66" s="44" t="n">
        <v>25</v>
      </c>
      <c r="I66" s="32" t="inlineStr">
        <is>
          <t>Drafted - Article #25 (publishes Aug 17 2026)</t>
        </is>
      </c>
      <c r="J66" s="32" t="inlineStr">
        <is>
          <t>Y</t>
        </is>
      </c>
      <c r="K66" s="32" t="n">
        <v>0</v>
      </c>
      <c r="L66" s="78">
        <f>IF(AND(K66&gt;=11,K66&lt;=20),"Striking distance","")</f>
        <v/>
      </c>
      <c r="M66" s="32" t="n">
        <v>0</v>
      </c>
      <c r="N66" s="32" t="n">
        <v>0</v>
      </c>
      <c r="O66" s="32" t="n">
        <v>0</v>
      </c>
      <c r="P66" s="15" t="n">
        <v>46244</v>
      </c>
      <c r="Q66" s="32" t="inlineStr">
        <is>
          <t>PRIMARY. Specific holiday; spoke of #23 hub. Distinct from #23/#26.</t>
        </is>
      </c>
    </row>
    <row r="67" ht="30" customHeight="1" s="104">
      <c r="A67" s="34" t="inlineStr">
        <is>
          <t>ninoy aquino day getaway lipa</t>
        </is>
      </c>
      <c r="B67" s="32" t="inlineStr">
        <is>
          <t>Cluster 3 - Weekend Getaway / Audience</t>
        </is>
      </c>
      <c r="C67" s="32" t="inlineStr">
        <is>
          <t>Commercial</t>
        </is>
      </c>
      <c r="D67" s="33" t="inlineStr">
        <is>
          <t>Low</t>
        </is>
      </c>
      <c r="E67" s="78" t="inlineStr">
        <is>
          <t>Secondary</t>
        </is>
      </c>
      <c r="F67" s="32" t="inlineStr">
        <is>
          <t>https://blog.haveninlipa.com/ninoy-aquino-day-long-weekend-lipa-2026/</t>
        </is>
      </c>
      <c r="G67" s="32" t="n"/>
      <c r="H67" s="44" t="n">
        <v>25</v>
      </c>
      <c r="I67" s="32" t="inlineStr">
        <is>
          <t>Drafted - Article #25 (publishes Aug 17 2026)</t>
        </is>
      </c>
      <c r="J67" s="32" t="inlineStr">
        <is>
          <t>Y</t>
        </is>
      </c>
      <c r="K67" s="32" t="n">
        <v>0</v>
      </c>
      <c r="L67" s="78">
        <f>IF(AND(K67&gt;=11,K67&lt;=20),"Striking distance","")</f>
        <v/>
      </c>
      <c r="M67" s="32" t="n">
        <v>0</v>
      </c>
      <c r="N67" s="32" t="n">
        <v>0</v>
      </c>
      <c r="O67" s="32" t="n">
        <v>0</v>
      </c>
      <c r="P67" s="15" t="n">
        <v>46244</v>
      </c>
      <c r="Q67" s="32" t="inlineStr">
        <is>
          <t>Secondary.</t>
        </is>
      </c>
    </row>
    <row r="68" ht="30" customHeight="1" s="104">
      <c r="A68" s="32" t="inlineStr">
        <is>
          <t>august 21 long weekend itinerary</t>
        </is>
      </c>
      <c r="B68" s="32" t="inlineStr">
        <is>
          <t>Cluster 3 - Weekend Getaway / Audience</t>
        </is>
      </c>
      <c r="C68" s="32" t="inlineStr">
        <is>
          <t>Seasonal</t>
        </is>
      </c>
      <c r="D68" s="33" t="inlineStr">
        <is>
          <t>Low</t>
        </is>
      </c>
      <c r="E68" s="78" t="inlineStr">
        <is>
          <t>Secondary</t>
        </is>
      </c>
      <c r="F68" s="32" t="inlineStr">
        <is>
          <t>https://blog.haveninlipa.com/ninoy-aquino-day-long-weekend-lipa-2026/</t>
        </is>
      </c>
      <c r="G68" s="32" t="n"/>
      <c r="H68" s="44" t="n">
        <v>25</v>
      </c>
      <c r="I68" s="32" t="inlineStr">
        <is>
          <t>Drafted - Article #25 (publishes Aug 17 2026)</t>
        </is>
      </c>
      <c r="J68" s="32" t="inlineStr">
        <is>
          <t>Y</t>
        </is>
      </c>
      <c r="K68" s="32" t="n">
        <v>0</v>
      </c>
      <c r="L68" s="78">
        <f>IF(AND(K68&gt;=11,K68&lt;=20),"Striking distance","")</f>
        <v/>
      </c>
      <c r="M68" s="32" t="n">
        <v>0</v>
      </c>
      <c r="N68" s="32" t="n">
        <v>0</v>
      </c>
      <c r="O68" s="32" t="n">
        <v>0</v>
      </c>
      <c r="P68" s="15" t="n">
        <v>46244</v>
      </c>
      <c r="Q68" s="32" t="inlineStr">
        <is>
          <t>Secondary.</t>
        </is>
      </c>
    </row>
    <row r="69" ht="30" customHeight="1" s="104">
      <c r="A69" s="34" t="inlineStr">
        <is>
          <t>national heroes day weekend lipa 2026</t>
        </is>
      </c>
      <c r="B69" s="32" t="inlineStr">
        <is>
          <t>Cluster 3 - Weekend Getaway / Audience</t>
        </is>
      </c>
      <c r="C69" s="32" t="inlineStr">
        <is>
          <t>Seasonal</t>
        </is>
      </c>
      <c r="D69" s="33" t="inlineStr">
        <is>
          <t>Medium</t>
        </is>
      </c>
      <c r="E69" s="80" t="inlineStr">
        <is>
          <t>Primary</t>
        </is>
      </c>
      <c r="F69" s="32" t="inlineStr">
        <is>
          <t>https://blog.haveninlipa.com/heroes-day-weekend-lipa-2026-quiet-itinerary/</t>
        </is>
      </c>
      <c r="G69" s="32" t="n"/>
      <c r="H69" s="44" t="n">
        <v>26</v>
      </c>
      <c r="I69" s="32" t="inlineStr">
        <is>
          <t>Drafted - Article #26 (publishes Aug 24 2026)</t>
        </is>
      </c>
      <c r="J69" s="32" t="inlineStr">
        <is>
          <t>Y</t>
        </is>
      </c>
      <c r="K69" s="32" t="n">
        <v>0</v>
      </c>
      <c r="L69" s="78">
        <f>IF(AND(K69&gt;=11,K69&lt;=20),"Striking distance","")</f>
        <v/>
      </c>
      <c r="M69" s="32" t="n">
        <v>0</v>
      </c>
      <c r="N69" s="32" t="n">
        <v>0</v>
      </c>
      <c r="O69" s="32" t="n">
        <v>0</v>
      </c>
      <c r="P69" s="15" t="n">
        <v>46244</v>
      </c>
      <c r="Q69" s="32" t="inlineStr">
        <is>
          <t>PRIMARY. Specific holiday; spoke of #23 hub. Distinct from #23/#25.</t>
        </is>
      </c>
    </row>
    <row r="70" ht="30" customHeight="1" s="104">
      <c r="A70" s="32" t="inlineStr">
        <is>
          <t>heroes day long weekend getaway</t>
        </is>
      </c>
      <c r="B70" s="32" t="inlineStr">
        <is>
          <t>Cluster 3 - Weekend Getaway / Audience</t>
        </is>
      </c>
      <c r="C70" s="32" t="inlineStr">
        <is>
          <t>Commercial</t>
        </is>
      </c>
      <c r="D70" s="33" t="inlineStr">
        <is>
          <t>Low</t>
        </is>
      </c>
      <c r="E70" s="78" t="inlineStr">
        <is>
          <t>Secondary</t>
        </is>
      </c>
      <c r="F70" s="32" t="inlineStr">
        <is>
          <t>https://blog.haveninlipa.com/heroes-day-weekend-lipa-2026-quiet-itinerary/</t>
        </is>
      </c>
      <c r="G70" s="32" t="n"/>
      <c r="H70" s="44" t="n">
        <v>26</v>
      </c>
      <c r="I70" s="32" t="inlineStr">
        <is>
          <t>Drafted - Article #26 (publishes Aug 24 2026)</t>
        </is>
      </c>
      <c r="J70" s="32" t="inlineStr">
        <is>
          <t>Y</t>
        </is>
      </c>
      <c r="K70" s="32" t="n">
        <v>0</v>
      </c>
      <c r="L70" s="78">
        <f>IF(AND(K70&gt;=11,K70&lt;=20),"Striking distance","")</f>
        <v/>
      </c>
      <c r="M70" s="32" t="n">
        <v>0</v>
      </c>
      <c r="N70" s="32" t="n">
        <v>0</v>
      </c>
      <c r="O70" s="32" t="n">
        <v>0</v>
      </c>
      <c r="P70" s="15" t="n">
        <v>46244</v>
      </c>
      <c r="Q70" s="32" t="inlineStr">
        <is>
          <t>Secondary.</t>
        </is>
      </c>
    </row>
    <row r="71" ht="30" customHeight="1" s="104">
      <c r="A71" s="34" t="inlineStr">
        <is>
          <t>august 28-31 long weekend lipa</t>
        </is>
      </c>
      <c r="B71" s="32" t="inlineStr">
        <is>
          <t>Cluster 3 - Weekend Getaway / Audience</t>
        </is>
      </c>
      <c r="C71" s="32" t="inlineStr">
        <is>
          <t>Seasonal</t>
        </is>
      </c>
      <c r="D71" s="33" t="inlineStr">
        <is>
          <t>Low</t>
        </is>
      </c>
      <c r="E71" s="78" t="inlineStr">
        <is>
          <t>Secondary</t>
        </is>
      </c>
      <c r="F71" s="32" t="inlineStr">
        <is>
          <t>https://blog.haveninlipa.com/heroes-day-weekend-lipa-2026-quiet-itinerary/</t>
        </is>
      </c>
      <c r="G71" s="32" t="n"/>
      <c r="H71" s="44" t="n">
        <v>26</v>
      </c>
      <c r="I71" s="32" t="inlineStr">
        <is>
          <t>Drafted - Article #26 (publishes Aug 24 2026)</t>
        </is>
      </c>
      <c r="J71" s="32" t="inlineStr">
        <is>
          <t>Y</t>
        </is>
      </c>
      <c r="K71" s="32" t="n">
        <v>0</v>
      </c>
      <c r="L71" s="78">
        <f>IF(AND(K71&gt;=11,K71&lt;=20),"Striking distance","")</f>
        <v/>
      </c>
      <c r="M71" s="32" t="n">
        <v>0</v>
      </c>
      <c r="N71" s="32" t="n">
        <v>0</v>
      </c>
      <c r="O71" s="32" t="n">
        <v>0</v>
      </c>
      <c r="P71" s="15" t="n">
        <v>46244</v>
      </c>
      <c r="Q71" s="32" t="inlineStr">
        <is>
          <t>Secondary.</t>
        </is>
      </c>
    </row>
    <row r="72">
      <c r="A72" s="34" t="inlineStr">
        <is>
          <t>short term rental lipa city</t>
        </is>
      </c>
      <c r="B72" s="34" t="inlineStr">
        <is>
          <t>Cluster 1 - Short-Term Rentals</t>
        </is>
      </c>
      <c r="C72" s="34" t="inlineStr">
        <is>
          <t>Transactional</t>
        </is>
      </c>
      <c r="D72" s="39" t="inlineStr">
        <is>
          <t>High</t>
        </is>
      </c>
      <c r="E72" s="80" t="inlineStr">
        <is>
          <t>Primary</t>
        </is>
      </c>
      <c r="F72" s="34" t="inlineStr">
        <is>
          <t>https://haveninlipa.com/</t>
        </is>
      </c>
      <c r="G72" s="34" t="n"/>
      <c r="H72" s="42" t="n"/>
      <c r="I72" s="34" t="inlineStr">
        <is>
          <t>Partial - homepage</t>
        </is>
      </c>
      <c r="J72" s="34" t="inlineStr">
        <is>
          <t>Y</t>
        </is>
      </c>
      <c r="K72" s="34" t="n">
        <v>0</v>
      </c>
      <c r="L72" s="78">
        <f>IF(AND(K72&gt;=11,K72&lt;=20),"Striking distance","")</f>
        <v/>
      </c>
      <c r="M72" s="34" t="n">
        <v>0</v>
      </c>
      <c r="N72" s="34" t="n">
        <v>0</v>
      </c>
      <c r="O72" s="34" t="n">
        <v>0</v>
      </c>
      <c r="P72" s="15" t="n">
        <v>46244</v>
      </c>
      <c r="Q72" s="34" t="n"/>
    </row>
    <row r="73">
      <c r="A73" s="35" t="inlineStr">
        <is>
          <t>vacation rental lipa batangas</t>
        </is>
      </c>
      <c r="B73" s="35" t="inlineStr">
        <is>
          <t>Cluster 1 - Short-Term Rentals</t>
        </is>
      </c>
      <c r="C73" s="35" t="inlineStr">
        <is>
          <t>Transactional</t>
        </is>
      </c>
      <c r="D73" s="39" t="inlineStr">
        <is>
          <t>High</t>
        </is>
      </c>
      <c r="E73" s="79" t="inlineStr">
        <is>
          <t>Secondary</t>
        </is>
      </c>
      <c r="F73" s="35" t="inlineStr">
        <is>
          <t>https://haveninlipa.com/ + property pages</t>
        </is>
      </c>
      <c r="G73" s="35" t="n"/>
      <c r="H73" s="42" t="n"/>
      <c r="I73" s="35" t="inlineStr">
        <is>
          <t>Partial</t>
        </is>
      </c>
      <c r="J73" s="35" t="inlineStr">
        <is>
          <t>Y</t>
        </is>
      </c>
      <c r="K73" s="35" t="n">
        <v>0</v>
      </c>
      <c r="L73" s="79">
        <f>IF(AND(K73&gt;=11,K73&lt;=20),"Striking distance","")</f>
        <v/>
      </c>
      <c r="M73" s="35" t="n">
        <v>0</v>
      </c>
      <c r="N73" s="35" t="n">
        <v>0</v>
      </c>
      <c r="O73" s="35" t="n">
        <v>0</v>
      </c>
      <c r="P73" s="15" t="n">
        <v>46244</v>
      </c>
      <c r="Q73" s="35" t="n"/>
    </row>
    <row r="74">
      <c r="A74" s="35" t="inlineStr">
        <is>
          <t>affordable staycation lipa</t>
        </is>
      </c>
      <c r="B74" s="35" t="inlineStr">
        <is>
          <t>Cluster 1 - Short-Term Rentals</t>
        </is>
      </c>
      <c r="C74" s="35" t="inlineStr">
        <is>
          <t>Transactional</t>
        </is>
      </c>
      <c r="D74" s="39" t="inlineStr">
        <is>
          <t>High</t>
        </is>
      </c>
      <c r="E74" s="79" t="inlineStr">
        <is>
          <t>Secondary</t>
        </is>
      </c>
      <c r="F74" s="35" t="inlineStr">
        <is>
          <t>https://haveninlipa.com/</t>
        </is>
      </c>
      <c r="G74" s="35" t="n"/>
      <c r="H74" s="42" t="n"/>
      <c r="I74" s="35" t="inlineStr">
        <is>
          <t>Partial</t>
        </is>
      </c>
      <c r="J74" s="35" t="inlineStr">
        <is>
          <t>Y</t>
        </is>
      </c>
      <c r="K74" s="35" t="n">
        <v>0</v>
      </c>
      <c r="L74" s="79">
        <f>IF(AND(K74&gt;=11,K74&lt;=20),"Striking distance","")</f>
        <v/>
      </c>
      <c r="M74" s="35" t="n">
        <v>0</v>
      </c>
      <c r="N74" s="35" t="n">
        <v>0</v>
      </c>
      <c r="O74" s="35" t="n">
        <v>0</v>
      </c>
      <c r="P74" s="15" t="n">
        <v>46244</v>
      </c>
      <c r="Q74" s="35" t="n"/>
    </row>
    <row r="75">
      <c r="A75" s="35" t="inlineStr">
        <is>
          <t>staycation batangas</t>
        </is>
      </c>
      <c r="B75" s="35" t="inlineStr">
        <is>
          <t>Cluster 3 - Weekend Getaway / Audience</t>
        </is>
      </c>
      <c r="C75" s="35" t="inlineStr">
        <is>
          <t>Mixed</t>
        </is>
      </c>
      <c r="D75" s="39" t="inlineStr">
        <is>
          <t>High</t>
        </is>
      </c>
      <c r="E75" s="79" t="inlineStr">
        <is>
          <t>Secondary</t>
        </is>
      </c>
      <c r="F75" s="35" t="inlineStr">
        <is>
          <t>Multiple articles</t>
        </is>
      </c>
      <c r="G75" s="35" t="n"/>
      <c r="H75" s="42" t="n"/>
      <c r="I75" s="35" t="inlineStr">
        <is>
          <t>Partial</t>
        </is>
      </c>
      <c r="J75" s="35" t="inlineStr">
        <is>
          <t>Y</t>
        </is>
      </c>
      <c r="K75" s="35" t="n">
        <v>0</v>
      </c>
      <c r="L75" s="79">
        <f>IF(AND(K75&gt;=11,K75&lt;=20),"Striking distance","")</f>
        <v/>
      </c>
      <c r="M75" s="35" t="n">
        <v>0</v>
      </c>
      <c r="N75" s="35" t="n">
        <v>0</v>
      </c>
      <c r="O75" s="35" t="n">
        <v>0</v>
      </c>
      <c r="P75" s="15" t="n">
        <v>46244</v>
      </c>
      <c r="Q75" s="35" t="n"/>
    </row>
    <row r="76" ht="135" customHeight="1" s="104">
      <c r="A76" s="35" t="inlineStr">
        <is>
          <t>barkada group trip lipa</t>
        </is>
      </c>
      <c r="B76" s="35" t="inlineStr">
        <is>
          <t>Cluster 3 - Weekend Getaway / Audience</t>
        </is>
      </c>
      <c r="C76" s="35" t="inlineStr">
        <is>
          <t>Commercial</t>
        </is>
      </c>
      <c r="D76" s="38" t="inlineStr">
        <is>
          <t>Medium</t>
        </is>
      </c>
      <c r="E76" s="77" t="inlineStr">
        <is>
          <t>Primary</t>
        </is>
      </c>
      <c r="F76" s="35" t="inlineStr">
        <is>
          <t>https://blog.haveninlipa.com/barkada-getaway-near-manila-why-a-whole-house-in-lipa-beats-a-beach-resort-cost-per-head-math-inside/</t>
        </is>
      </c>
      <c r="G76" s="35" t="inlineStr">
        <is>
          <t>https://blog.haveninlipa.com/barkada-getaway-near-manila-why-a-whole-house-in-lipa-beats-a-beach-resort-cost-per-head-math-inside/</t>
        </is>
      </c>
      <c r="H76" s="42" t="n">
        <v>27</v>
      </c>
      <c r="I76" s="35" t="inlineStr">
        <is>
          <t>Published</t>
        </is>
      </c>
      <c r="J76" s="35" t="inlineStr">
        <is>
          <t>Y</t>
        </is>
      </c>
      <c r="K76" s="35" t="n">
        <v>0</v>
      </c>
      <c r="L76" s="79">
        <f>IF(AND(K76&gt;=11,K76&lt;=20),"Striking distance","")</f>
        <v/>
      </c>
      <c r="M76" s="35" t="n">
        <v>0</v>
      </c>
      <c r="N76" s="35" t="n">
        <v>0</v>
      </c>
      <c r="O76" s="35" t="n">
        <v>0</v>
      </c>
      <c r="P76" s="15" t="n">
        <v>46237</v>
      </c>
      <c r="Q76" s="35" t="n"/>
    </row>
    <row r="77">
      <c r="A77" s="34" t="inlineStr">
        <is>
          <t>summer in lipa 2026</t>
        </is>
      </c>
      <c r="B77" s="34" t="inlineStr">
        <is>
          <t>Cluster 3 - Weekend Getaway / Audience</t>
        </is>
      </c>
      <c r="C77" s="34" t="inlineStr">
        <is>
          <t>Seasonal</t>
        </is>
      </c>
      <c r="D77" s="38" t="inlineStr">
        <is>
          <t>Medium</t>
        </is>
      </c>
      <c r="E77" s="80" t="inlineStr">
        <is>
          <t>Primary</t>
        </is>
      </c>
      <c r="F77" s="34" t="inlineStr">
        <is>
          <t>TBD - Seasonal LP</t>
        </is>
      </c>
      <c r="G77" s="34" t="n"/>
      <c r="H77" s="42" t="n"/>
      <c r="I77" s="34" t="inlineStr">
        <is>
          <t>Gap</t>
        </is>
      </c>
      <c r="J77" s="34" t="inlineStr">
        <is>
          <t>Y</t>
        </is>
      </c>
      <c r="K77" s="34" t="n">
        <v>0</v>
      </c>
      <c r="L77" s="78">
        <f>IF(AND(K77&gt;=11,K77&lt;=20),"Striking distance","")</f>
        <v/>
      </c>
      <c r="M77" s="34" t="n">
        <v>0</v>
      </c>
      <c r="N77" s="34" t="n">
        <v>0</v>
      </c>
      <c r="O77" s="34" t="n">
        <v>0</v>
      </c>
      <c r="P77" s="15" t="n">
        <v>46237</v>
      </c>
      <c r="Q77" s="34" t="n"/>
    </row>
    <row r="78">
      <c r="A78" s="35" t="inlineStr">
        <is>
          <t>senior-friendly lipa getaway</t>
        </is>
      </c>
      <c r="B78" s="35" t="inlineStr">
        <is>
          <t>Cluster 3 - Weekend Getaway / Audience</t>
        </is>
      </c>
      <c r="C78" s="35" t="inlineStr">
        <is>
          <t>Commercial</t>
        </is>
      </c>
      <c r="D78" s="40" t="inlineStr">
        <is>
          <t>Low</t>
        </is>
      </c>
      <c r="E78" s="77" t="inlineStr">
        <is>
          <t>Primary</t>
        </is>
      </c>
      <c r="F78" s="35" t="inlineStr">
        <is>
          <t>TBD - Tier D</t>
        </is>
      </c>
      <c r="G78" s="35" t="n"/>
      <c r="H78" s="42" t="n"/>
      <c r="I78" s="35" t="inlineStr">
        <is>
          <t>Gap</t>
        </is>
      </c>
      <c r="J78" s="35" t="inlineStr">
        <is>
          <t>Y</t>
        </is>
      </c>
      <c r="K78" s="35" t="n">
        <v>0</v>
      </c>
      <c r="L78" s="79">
        <f>IF(AND(K78&gt;=11,K78&lt;=20),"Striking distance","")</f>
        <v/>
      </c>
      <c r="M78" s="35" t="n">
        <v>0</v>
      </c>
      <c r="N78" s="35" t="n">
        <v>0</v>
      </c>
      <c r="O78" s="35" t="n">
        <v>0</v>
      </c>
      <c r="P78" s="15" t="n">
        <v>46237</v>
      </c>
      <c r="Q78" s="35" t="n"/>
    </row>
    <row r="79">
      <c r="A79" s="34" t="inlineStr">
        <is>
          <t>solo travel guide to lipa</t>
        </is>
      </c>
      <c r="B79" s="34" t="inlineStr">
        <is>
          <t>Cluster 3 - Weekend Getaway / Audience</t>
        </is>
      </c>
      <c r="C79" s="34" t="inlineStr">
        <is>
          <t>Informational</t>
        </is>
      </c>
      <c r="D79" s="40" t="inlineStr">
        <is>
          <t>Low</t>
        </is>
      </c>
      <c r="E79" s="80" t="inlineStr">
        <is>
          <t>Primary</t>
        </is>
      </c>
      <c r="F79" s="34" t="inlineStr">
        <is>
          <t>TBD - Tier D</t>
        </is>
      </c>
      <c r="G79" s="34" t="n"/>
      <c r="H79" s="42" t="n"/>
      <c r="I79" s="34" t="inlineStr">
        <is>
          <t>Gap</t>
        </is>
      </c>
      <c r="J79" s="34" t="inlineStr">
        <is>
          <t>Y</t>
        </is>
      </c>
      <c r="K79" s="34" t="n">
        <v>0</v>
      </c>
      <c r="L79" s="78">
        <f>IF(AND(K79&gt;=11,K79&lt;=20),"Striking distance","")</f>
        <v/>
      </c>
      <c r="M79" s="34" t="n">
        <v>0</v>
      </c>
      <c r="N79" s="34" t="n">
        <v>0</v>
      </c>
      <c r="O79" s="34" t="n">
        <v>0</v>
      </c>
      <c r="P79" s="15" t="n">
        <v>46237</v>
      </c>
      <c r="Q79" s="34" t="n"/>
    </row>
    <row r="80">
      <c r="A80" s="34" t="inlineStr">
        <is>
          <t>lipa city travel guide</t>
        </is>
      </c>
      <c r="B80" s="34" t="inlineStr">
        <is>
          <t>Cluster 4 - Travel Planning &amp; Logistics</t>
        </is>
      </c>
      <c r="C80" s="34" t="inlineStr">
        <is>
          <t>Informational</t>
        </is>
      </c>
      <c r="D80" s="39" t="inlineStr">
        <is>
          <t>High</t>
        </is>
      </c>
      <c r="E80" s="78" t="inlineStr">
        <is>
          <t>Secondary</t>
        </is>
      </c>
      <c r="F80" s="34" t="inlineStr">
        <is>
          <t>Multiple articles</t>
        </is>
      </c>
      <c r="G80" s="34" t="n"/>
      <c r="H80" s="42" t="n"/>
      <c r="I80" s="34" t="inlineStr">
        <is>
          <t>Partial</t>
        </is>
      </c>
      <c r="J80" s="34" t="inlineStr">
        <is>
          <t>Y</t>
        </is>
      </c>
      <c r="K80" s="34" t="n">
        <v>0</v>
      </c>
      <c r="L80" s="78">
        <f>IF(AND(K80&gt;=11,K80&lt;=20),"Striking distance","")</f>
        <v/>
      </c>
      <c r="M80" s="34" t="n">
        <v>0</v>
      </c>
      <c r="N80" s="34" t="n">
        <v>0</v>
      </c>
      <c r="O80" s="34" t="n">
        <v>0</v>
      </c>
      <c r="P80" s="15" t="n">
        <v>46237</v>
      </c>
      <c r="Q80" s="34" t="n"/>
    </row>
    <row r="81">
      <c r="A81" s="34" t="inlineStr">
        <is>
          <t>batangas road trip itinerary</t>
        </is>
      </c>
      <c r="B81" s="34" t="inlineStr">
        <is>
          <t>Cluster 4 - Travel Planning &amp; Logistics</t>
        </is>
      </c>
      <c r="C81" s="34" t="inlineStr">
        <is>
          <t>Informational</t>
        </is>
      </c>
      <c r="D81" s="38" t="inlineStr">
        <is>
          <t>Medium</t>
        </is>
      </c>
      <c r="E81" s="80" t="inlineStr">
        <is>
          <t>Primary</t>
        </is>
      </c>
      <c r="F81" s="34" t="inlineStr">
        <is>
          <t>TBD - Tier C hub article</t>
        </is>
      </c>
      <c r="G81" s="34" t="n"/>
      <c r="H81" s="42" t="n"/>
      <c r="I81" s="34" t="inlineStr">
        <is>
          <t>Gap</t>
        </is>
      </c>
      <c r="J81" s="34" t="inlineStr">
        <is>
          <t>Y</t>
        </is>
      </c>
      <c r="K81" s="34" t="n">
        <v>0</v>
      </c>
      <c r="L81" s="78">
        <f>IF(AND(K81&gt;=11,K81&lt;=20),"Striking distance","")</f>
        <v/>
      </c>
      <c r="M81" s="34" t="n">
        <v>0</v>
      </c>
      <c r="N81" s="34" t="n">
        <v>0</v>
      </c>
      <c r="O81" s="34" t="n">
        <v>0</v>
      </c>
      <c r="P81" s="15" t="n">
        <v>46237</v>
      </c>
      <c r="Q81" s="34" t="n"/>
    </row>
    <row r="82" ht="30" customHeight="1" s="104">
      <c r="A82" s="34" t="inlineStr">
        <is>
          <t>vacation rental no service fee</t>
        </is>
      </c>
      <c r="B82" s="34" t="inlineStr">
        <is>
          <t>Cluster 5 - Direct Booking &amp; Value</t>
        </is>
      </c>
      <c r="C82" s="34" t="inlineStr">
        <is>
          <t>Commercial</t>
        </is>
      </c>
      <c r="D82" s="38" t="inlineStr">
        <is>
          <t>Medium</t>
        </is>
      </c>
      <c r="E82" s="78" t="inlineStr">
        <is>
          <t>Secondary</t>
        </is>
      </c>
      <c r="F82" s="34" t="inlineStr">
        <is>
          <t>https://blog.haveninlipa.com/why-book-direct-instead-of-airbnb-a-philippines-hosts-honest-take/</t>
        </is>
      </c>
      <c r="G82" s="34" t="n"/>
      <c r="H82" s="42" t="n"/>
      <c r="I82" s="34" t="inlineStr">
        <is>
          <t>Partial</t>
        </is>
      </c>
      <c r="J82" s="34" t="inlineStr">
        <is>
          <t>Y</t>
        </is>
      </c>
      <c r="K82" s="34" t="n">
        <v>0</v>
      </c>
      <c r="L82" s="78">
        <f>IF(AND(K82&gt;=11,K82&lt;=20),"Striking distance","")</f>
        <v/>
      </c>
      <c r="M82" s="34" t="n">
        <v>0</v>
      </c>
      <c r="N82" s="34" t="n">
        <v>0</v>
      </c>
      <c r="O82" s="34" t="n">
        <v>0</v>
      </c>
      <c r="P82" s="15" t="n">
        <v>46237</v>
      </c>
      <c r="Q82" s="34" t="inlineStr">
        <is>
          <t>Target URL synced to live slug + confirmed indexed (GSC) 2026-06-02.</t>
        </is>
      </c>
    </row>
    <row r="83">
      <c r="A83" s="35" t="inlineStr">
        <is>
          <t>haven in lipa</t>
        </is>
      </c>
      <c r="B83" s="35" t="inlineStr">
        <is>
          <t>Cluster 6 - Branded / Property</t>
        </is>
      </c>
      <c r="C83" s="35" t="inlineStr">
        <is>
          <t>Branded SERP</t>
        </is>
      </c>
      <c r="D83" s="39" t="inlineStr">
        <is>
          <t>High</t>
        </is>
      </c>
      <c r="E83" s="79" t="inlineStr">
        <is>
          <t>Secondary</t>
        </is>
      </c>
      <c r="F83" s="35" t="inlineStr">
        <is>
          <t>https://haveninlipa.com/</t>
        </is>
      </c>
      <c r="G83" s="35" t="n"/>
      <c r="H83" s="42" t="n"/>
      <c r="I83" s="35" t="inlineStr">
        <is>
          <t>Brand visibility tracking</t>
        </is>
      </c>
      <c r="J83" s="35" t="inlineStr">
        <is>
          <t>Y</t>
        </is>
      </c>
      <c r="K83" s="35" t="n">
        <v>0</v>
      </c>
      <c r="L83" s="79">
        <f>IF(AND(K83&gt;=11,K83&lt;=20),"Striking distance","")</f>
        <v/>
      </c>
      <c r="M83" s="35" t="n">
        <v>0</v>
      </c>
      <c r="N83" s="35" t="n">
        <v>0</v>
      </c>
      <c r="O83" s="35" t="n">
        <v>0</v>
      </c>
      <c r="P83" s="15" t="n">
        <v>46237</v>
      </c>
      <c r="Q83" s="35" t="n"/>
    </row>
  </sheetData>
  <autoFilter ref="A1:Q83">
    <sortState ref="A2:O83">
      <sortCondition ref="G1:G83"/>
    </sortState>
  </autoFilter>
  <conditionalFormatting sqref="L2:L83">
    <cfRule type="expression" priority="1" dxfId="0">
      <formula>$L2="Striking distance"</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topLeftCell="A47" workbookViewId="0">
      <selection activeCell="F65" sqref="F65"/>
    </sheetView>
  </sheetViews>
  <sheetFormatPr baseColWidth="10" defaultRowHeight="15"/>
  <cols>
    <col width="28.6640625" customWidth="1" style="104" min="1" max="1"/>
    <col width="32.5" customWidth="1" style="104" min="2" max="2"/>
  </cols>
  <sheetData>
    <row r="1" ht="17" customHeight="1" s="104">
      <c r="A1" s="28" t="inlineStr">
        <is>
          <t>Question, once we generate the appropriate keywords for the articles, they are placed in the keyword tracker - then other that checking them regularly in GSC, what should be done with those keywords?</t>
        </is>
      </c>
    </row>
    <row r="3" ht="17" customHeight="1" s="104">
      <c r="A3" s="28" t="inlineStr">
        <is>
          <t>Great question — and the answer is the difference between a tracker that's a graveyard of numbers and one that's a work queue. Monitoring is step zero; here's what the keywords are actually for once they're in the sheet:</t>
        </is>
      </c>
    </row>
    <row r="5" ht="23" customHeight="1" s="104">
      <c r="A5" s="29" t="inlineStr">
        <is>
          <t>1. Put the keyword into the page (at publish time)</t>
        </is>
      </c>
    </row>
    <row r="7" ht="17" customHeight="1" s="104">
      <c r="A7" s="28" t="inlineStr">
        <is>
          <t>Each tracker row maps a keyword → a target URL. That keyword should then be deployed on that page:</t>
        </is>
      </c>
    </row>
    <row r="9" ht="17" customHeight="1" s="104">
      <c r="A9" s="30" t="inlineStr">
        <is>
          <t>Yoast focus keyphrase (you already use these), title tag, H1, URL slug, first ~100 words, one or two H2s, an image alt, and the meta description.</t>
        </is>
      </c>
    </row>
    <row r="10" ht="17" customHeight="1" s="104">
      <c r="A10" s="30" t="inlineStr">
        <is>
          <t>One primary keyphrase per article + a few secondaries. The tracker is your dedup ledger — before assigning a keyword, confirm no other live page already owns it (prevents cannibalization, where two of your pages compete and split the ranking).</t>
        </is>
      </c>
    </row>
    <row r="12" ht="23" customHeight="1" s="104">
      <c r="A12" s="29" t="inlineStr">
        <is>
          <t>2. Wire internal links by cluster (hub-and-spoke)</t>
        </is>
      </c>
    </row>
    <row r="14" ht="17" customHeight="1" s="104">
      <c r="A14" s="28" t="inlineStr">
        <is>
          <t>This is the highest-leverage use and exactly your moat. The Cluster column tells you which articles relate:</t>
        </is>
      </c>
    </row>
    <row r="16" ht="17" customHeight="1" s="104">
      <c r="A16" s="28" t="inlineStr">
        <is>
          <t>Cluster-mates link to each other; all of them link up to money pages (the property pages + the Book-Direct article #6) using the keyword as natural anchor text.</t>
        </is>
      </c>
    </row>
    <row r="17" ht="17" customHeight="1" s="104">
      <c r="A17" s="28" t="inlineStr">
        <is>
          <t>This is literally what the audit prescribed for #28 (road-trip hub linking #1/#4/#5/#7/#10). The keyword map is your linking blueprint.</t>
        </is>
      </c>
    </row>
    <row r="19" ht="23" customHeight="1" s="104">
      <c r="A19" s="29" t="inlineStr">
        <is>
          <t>3. Turn position into a prioritized to-do list</t>
        </is>
      </c>
    </row>
    <row r="21" ht="17" customHeight="1" s="104">
      <c r="A21" s="28" t="inlineStr">
        <is>
          <t>Don't just record positions — let them trigger work:</t>
        </is>
      </c>
    </row>
    <row r="22" ht="17" customHeight="1" s="104">
      <c r="A22" s="30" t="inlineStr">
        <is>
          <t>GSC position</t>
        </is>
      </c>
      <c r="B22" s="30" t="inlineStr">
        <is>
          <t>What it means</t>
        </is>
      </c>
      <c r="C22" s="30" t="inlineStr">
        <is>
          <t>Action</t>
        </is>
      </c>
    </row>
    <row r="23" ht="17" customHeight="1" s="104">
      <c r="A23" s="30" t="inlineStr">
        <is>
          <t>11-20 (page 2)</t>
        </is>
      </c>
      <c r="B23" s="28" t="inlineStr">
        <is>
          <t>"Striking distance" — best ROI</t>
        </is>
      </c>
      <c r="C23" s="28" t="inlineStr">
        <is>
          <t>Refresh/expand the article, add internal links, sharpen the title → push to page 1</t>
        </is>
      </c>
    </row>
    <row r="24" ht="17" customHeight="1" s="104">
      <c r="A24" s="31" t="n">
        <v>46122</v>
      </c>
      <c r="B24" s="28" t="inlineStr">
        <is>
          <t>On page 1, not top</t>
        </is>
      </c>
      <c r="C24" s="28" t="inlineStr">
        <is>
          <t>Improve title/meta for clicks; add schema; earn a couple links</t>
        </is>
      </c>
    </row>
    <row r="25" ht="17" customHeight="1" s="104">
      <c r="A25" s="31" t="n">
        <v>46025</v>
      </c>
      <c r="B25" s="28" t="inlineStr">
        <is>
          <t>Winning</t>
        </is>
      </c>
      <c r="C25" s="28" t="inlineStr">
        <is>
          <t>Maintain; watch for decay/cannibalization</t>
        </is>
      </c>
    </row>
    <row r="26" ht="17" customHeight="1" s="104">
      <c r="A26" s="30" t="inlineStr">
        <is>
          <t>Not ranking / not indexed</t>
        </is>
      </c>
      <c r="B26" s="28" t="inlineStr">
        <is>
          <t>Technical or thin</t>
        </is>
      </c>
      <c r="C26" s="28" t="inlineStr">
        <is>
          <t>Check indexing, canonical, content depth</t>
        </is>
      </c>
    </row>
    <row r="28" ht="23" customHeight="1" s="104">
      <c r="A28" s="29" t="inlineStr">
        <is>
          <t>4. Fix CTR where impressions are high but clicks aren't</t>
        </is>
      </c>
    </row>
    <row r="30" ht="17" customHeight="1" s="104">
      <c r="A30" s="28" t="inlineStr">
        <is>
          <t>When the tracker shows high impressions, low CTR, the ranking is fine — the title tag + meta description aren't earning the click. Rewrite them (and confirm schema for rich results). This is often faster wins than chasing new rankings.</t>
        </is>
      </c>
    </row>
    <row r="32" ht="23" customHeight="1" s="104">
      <c r="A32" s="29" t="inlineStr">
        <is>
          <t>5. Mine GSC for the queries you didn't target</t>
        </is>
      </c>
    </row>
    <row r="34" ht="17" customHeight="1" s="104">
      <c r="A34" s="28" t="inlineStr">
        <is>
          <t>In GSC → Performance, filter to each page: it shows the actual search queries bringing impressions — usually far more than your one target keyword. Harvest those:</t>
        </is>
      </c>
    </row>
    <row r="36" ht="17" customHeight="1" s="104">
      <c r="A36" s="28" t="inlineStr">
        <is>
          <t>New secondary keywords to add to the page,</t>
        </is>
      </c>
    </row>
    <row r="37" ht="17" customHeight="1" s="104">
      <c r="A37" s="28" t="inlineStr">
        <is>
          <t>New FAQ entries,</t>
        </is>
      </c>
    </row>
    <row r="38" ht="17" customHeight="1" s="104">
      <c r="A38" s="28" t="inlineStr">
        <is>
          <t>New article ideas for the next cycle. This is how the keyword list keeps growing organically instead of going stale.</t>
        </is>
      </c>
    </row>
    <row r="40" ht="23" customHeight="1" s="104">
      <c r="A40" s="29" t="inlineStr">
        <is>
          <t>6. Refresh on a cadence + tie to bookings</t>
        </is>
      </c>
    </row>
    <row r="42" ht="17" customHeight="1" s="104">
      <c r="A42" s="30" t="inlineStr">
        <is>
          <t>Seasonal / dated keywords (e.g. "2026" guides, "summer in lipa") need scheduled refreshes — the audit already pre-scheduled the "Things to Do" refresh for Aug 31. Use Last Reviewed to find decaying pages.</t>
        </is>
      </c>
    </row>
    <row r="43" ht="17" customHeight="1" s="104">
      <c r="A43" s="30" t="inlineStr">
        <is>
          <t>Prioritize by intent → revenue: Cluster 1 (transactional) and Cluster 5 (direct booking) keywords sit closest to a booking, so optimization effort there matters most. Ultimately tie ranking pages back to the audit's real KPI — direct-booking inquiries vs. OTA.</t>
        </is>
      </c>
    </row>
    <row r="47" ht="17" customHeight="1" s="104">
      <c r="A47" s="30" t="inlineStr">
        <is>
          <t>In one line: a keyword's job is rank → attract → internally link to a property page → convert — and the tracker's position/CTR/impression columns tell you which lever to pull next.</t>
        </is>
      </c>
    </row>
    <row r="48" ht="17" customHeight="1" s="104">
      <c r="A48" s="28" t="inlineStr">
        <is>
          <t>If it'd help, I can add a couple of operational columns to the synced tracker to make this automatic — e.g. a "Striking Distance?" flag (auto-highlights positions 11-20) and an on-page checklist column (focus kw / title / H1 / internal links / schema ✓). Want me to build that in?</t>
        </is>
      </c>
    </row>
    <row r="52" ht="17" customHeight="1" s="104">
      <c r="A52" s="74" t="inlineStr">
        <is>
          <t>On-page element</t>
        </is>
      </c>
      <c r="B52" s="74" t="inlineStr">
        <is>
          <t>Which keyword</t>
        </is>
      </c>
    </row>
    <row r="53" ht="36" customHeight="1" s="104">
      <c r="A53" s="74" t="inlineStr">
        <is>
          <t>Yoast Focus Keyphrase</t>
        </is>
      </c>
      <c r="B53" s="75" t="inlineStr">
        <is>
          <t>The primary (Yoast only allows one focus keyphrase)</t>
        </is>
      </c>
    </row>
    <row r="54" ht="18" customHeight="1" s="104">
      <c r="A54" s="74" t="inlineStr">
        <is>
          <t>Title tag</t>
        </is>
      </c>
      <c r="B54" s="75" t="inlineStr">
        <is>
          <t>Primary — near the front</t>
        </is>
      </c>
    </row>
    <row r="55" ht="18" customHeight="1" s="104">
      <c r="A55" s="74" t="inlineStr">
        <is>
          <t>H1</t>
        </is>
      </c>
      <c r="B55" s="75" t="inlineStr">
        <is>
          <t>Primary</t>
        </is>
      </c>
    </row>
    <row r="56" ht="54" customHeight="1" s="104">
      <c r="A56" s="74" t="inlineStr">
        <is>
          <t>URL slug</t>
        </is>
      </c>
      <c r="B56" s="75" t="inlineStr">
        <is>
          <t>Primary (but never change a slug on an already-published page — it breaks the URL)</t>
        </is>
      </c>
    </row>
    <row r="57" ht="18" customHeight="1" s="104">
      <c r="A57" s="74" t="inlineStr">
        <is>
          <t>First ~100 words</t>
        </is>
      </c>
      <c r="B57" s="75" t="inlineStr">
        <is>
          <t>Primary</t>
        </is>
      </c>
    </row>
    <row r="58" ht="36" customHeight="1" s="104">
      <c r="A58" s="74" t="inlineStr">
        <is>
          <t>H2 headings</t>
        </is>
      </c>
      <c r="B58" s="75" t="inlineStr">
        <is>
          <t>Primary in one H2; secondaries in other H2s</t>
        </is>
      </c>
    </row>
    <row r="59" ht="36" customHeight="1" s="104">
      <c r="A59" s="74" t="inlineStr">
        <is>
          <t>Image alt text</t>
        </is>
      </c>
      <c r="B59" s="75" t="inlineStr">
        <is>
          <t>Primary on the featured image; secondaries on other images</t>
        </is>
      </c>
    </row>
    <row r="60" ht="36" customHeight="1" s="104">
      <c r="A60" s="74" t="inlineStr">
        <is>
          <t>Meta description</t>
        </is>
      </c>
      <c r="B60" s="75" t="inlineStr">
        <is>
          <t>Primary + one secondary, written to earn the click</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7"/>
  <sheetViews>
    <sheetView showGridLines="0" zoomScale="160" zoomScaleNormal="160" workbookViewId="0">
      <pane ySplit="1" topLeftCell="A2" activePane="bottomLeft" state="frozen"/>
      <selection pane="bottomLeft" activeCell="A1" sqref="A1"/>
    </sheetView>
  </sheetViews>
  <sheetFormatPr baseColWidth="10" defaultColWidth="8.83203125" defaultRowHeight="15"/>
  <cols>
    <col width="5" customWidth="1" style="104" min="1" max="1"/>
    <col width="36" customWidth="1" style="104" min="2" max="3"/>
    <col width="70" customWidth="1" style="104" min="4" max="4"/>
  </cols>
  <sheetData>
    <row r="1" ht="32" customHeight="1" s="104">
      <c r="A1" s="11" t="inlineStr">
        <is>
          <t>#</t>
        </is>
      </c>
      <c r="B1" s="11" t="inlineStr">
        <is>
          <t>Keyword / Keyphrase</t>
        </is>
      </c>
      <c r="C1" s="11" t="inlineStr">
        <is>
          <t>Target Page</t>
        </is>
      </c>
      <c r="D1" s="11" t="inlineStr">
        <is>
          <t>Next Action</t>
        </is>
      </c>
    </row>
    <row r="2" ht="36" customHeight="1" s="104">
      <c r="A2" s="12" t="inlineStr">
        <is>
          <t>1</t>
        </is>
      </c>
      <c r="B2" s="12" t="inlineStr">
        <is>
          <t>family staycation lipa</t>
        </is>
      </c>
      <c r="C2" s="12" t="inlineStr">
        <is>
          <t>Article #11 (live)</t>
        </is>
      </c>
      <c r="D2" s="12" t="inlineStr">
        <is>
          <t>Internal links from #1, #3, #5; refresh meta description; request indexing in GSC.</t>
        </is>
      </c>
    </row>
    <row r="3" ht="36" customHeight="1" s="104">
      <c r="A3" s="9" t="inlineStr">
        <is>
          <t>2</t>
        </is>
      </c>
      <c r="B3" s="9" t="inlineStr">
        <is>
          <t>romantic getaway batangas</t>
        </is>
      </c>
      <c r="C3" s="9" t="inlineStr">
        <is>
          <t>Article #12 (live)</t>
        </is>
      </c>
      <c r="D3" s="9" t="inlineStr">
        <is>
          <t>Add Tagaytay comparison schema; FAQ markup; cross-link from 1BR property page.</t>
        </is>
      </c>
    </row>
    <row r="4" ht="36" customHeight="1" s="104">
      <c r="A4" s="12" t="inlineStr">
        <is>
          <t>3</t>
        </is>
      </c>
      <c r="B4" s="12" t="inlineStr">
        <is>
          <t>book direct vs airbnb</t>
        </is>
      </c>
      <c r="C4" s="12" t="inlineStr">
        <is>
          <t>Article #6 (live)</t>
        </is>
      </c>
      <c r="D4" s="12" t="inlineStr">
        <is>
          <t>Add price comparison table; link from homepage and every property page footer.</t>
        </is>
      </c>
    </row>
    <row r="5" ht="36" customHeight="1" s="104">
      <c r="A5" s="9" t="inlineStr">
        <is>
          <t>4</t>
        </is>
      </c>
      <c r="B5" s="9" t="inlineStr">
        <is>
          <t>how to get to lipa from manila</t>
        </is>
      </c>
      <c r="C5" s="9" t="inlineStr">
        <is>
          <t>Article #10 (live, indexed)</t>
        </is>
      </c>
      <c r="D5" s="9" t="inlineStr">
        <is>
          <t>LIVE + indexed (confirmed 2026-07-04). Monitor position; build long-tail internal links.</t>
        </is>
      </c>
    </row>
    <row r="6" ht="36" customHeight="1" s="104">
      <c r="A6" s="12" t="inlineStr">
        <is>
          <t>5</t>
        </is>
      </c>
      <c r="B6" s="12" t="inlineStr">
        <is>
          <t>things to do in lipa city</t>
        </is>
      </c>
      <c r="C6" s="12" t="inlineStr">
        <is>
          <t>Article #1 (live)</t>
        </is>
      </c>
      <c r="D6" s="12" t="inlineStr">
        <is>
          <t>Add Mt Maculot + Taal viewpoint as H2s; refresh image alt text.</t>
        </is>
      </c>
    </row>
    <row r="7" ht="36" customHeight="1" s="104">
      <c r="A7" s="9" t="inlineStr">
        <is>
          <t>6</t>
        </is>
      </c>
      <c r="B7" s="9" t="inlineStr">
        <is>
          <t>family weekend batangas</t>
        </is>
      </c>
      <c r="C7" s="9" t="inlineStr">
        <is>
          <t>Article #14 (NEW)</t>
        </is>
      </c>
      <c r="D7" s="9" t="inlineStr">
        <is>
          <t>Push for indexing; promote in HavenInLipa newsletter; link to 2BR property page.</t>
        </is>
      </c>
    </row>
    <row r="8" ht="36" customHeight="1" s="104">
      <c r="A8" s="12" t="inlineStr">
        <is>
          <t>7</t>
        </is>
      </c>
      <c r="B8" s="12" t="inlineStr">
        <is>
          <t>batangas without beach crowds</t>
        </is>
      </c>
      <c r="C8" s="12" t="inlineStr">
        <is>
          <t>Article #14 (NEW)</t>
        </is>
      </c>
      <c r="D8" s="12" t="inlineStr">
        <is>
          <t>Differentiator angle - low competition. Promote in Q3 when Laiya/Nasugbu traffic peaks.</t>
        </is>
      </c>
    </row>
    <row r="9" ht="36" customHeight="1" s="104">
      <c r="A9" s="9" t="inlineStr">
        <is>
          <t>8</t>
        </is>
      </c>
      <c r="B9" s="9" t="inlineStr">
        <is>
          <t>mickey in lipa</t>
        </is>
      </c>
      <c r="C9" s="9" t="inlineStr">
        <is>
          <t>Article #13 + new property page</t>
        </is>
      </c>
      <c r="D9" s="9" t="inlineStr">
        <is>
          <t>DONE — 3 config pages live (sleeps 7/11/15, real photos, schema). Next: internal links from #11/#14 + finish launch-post wiring; monitor GSC.</t>
        </is>
      </c>
    </row>
    <row r="10" ht="36" customHeight="1" s="104">
      <c r="A10" s="12" t="inlineStr">
        <is>
          <t>9</t>
        </is>
      </c>
      <c r="B10" s="12" t="inlineStr">
        <is>
          <t>disney-inspired house lipa</t>
        </is>
      </c>
      <c r="C10" s="12" t="inlineStr">
        <is>
          <t>Article #13</t>
        </is>
      </c>
      <c r="D10" s="12" t="inlineStr">
        <is>
          <t>Property live. Monitor brand SERP weekly; consider Google Ads brand-protect.</t>
        </is>
      </c>
    </row>
    <row r="11" ht="36" customHeight="1" s="104">
      <c r="A11" s="9" t="inlineStr">
        <is>
          <t>10</t>
        </is>
      </c>
      <c r="B11" s="9" t="inlineStr">
        <is>
          <t>haven in lipa</t>
        </is>
      </c>
      <c r="C11" s="9" t="inlineStr">
        <is>
          <t>Homepage</t>
        </is>
      </c>
      <c r="D11" s="9" t="inlineStr">
        <is>
          <t>Brand SERP - confirm site shows for this query; if not, GSC -&gt; Request indexing for homepage.</t>
        </is>
      </c>
    </row>
    <row r="12" ht="255" customHeight="1" s="104">
      <c r="A12" s="89" t="inlineStr">
        <is>
          <t>— CONVERSION PRIORITIES (added 2026-07-04, delta run 070426) —</t>
        </is>
      </c>
      <c r="B12" s="89" t="n"/>
      <c r="C12" s="89" t="n"/>
      <c r="D12" s="89" t="n"/>
    </row>
    <row r="13" ht="30" customHeight="1" s="104">
      <c r="A13" s="90" t="inlineStr">
        <is>
          <t>C1</t>
        </is>
      </c>
      <c r="B13" s="91" t="inlineStr">
        <is>
          <t>property page reviews</t>
        </is>
      </c>
      <c r="C13" s="91" t="inlineStr">
        <is>
          <t>All property pages</t>
        </is>
      </c>
      <c r="D13" s="91" t="inlineStr">
        <is>
          <t>✅ EXPANDED (verified 2026-08-09): Mickey reviews now 3/4/3 (was 1/2/1). Remaining: per-review star ratings + aggregate line + Review/AggregateRating schema; add reviews to 1BR/2BR.</t>
        </is>
      </c>
    </row>
    <row r="14" ht="30" customHeight="1" s="104">
      <c r="A14" s="92" t="inlineStr">
        <is>
          <t>C2</t>
        </is>
      </c>
      <c r="B14" s="93" t="inlineStr">
        <is>
          <t>blog to booking funnel</t>
        </is>
      </c>
      <c r="C14" s="93" t="inlineStr">
        <is>
          <t>Top articles #1/#11/#12/#14</t>
        </is>
      </c>
      <c r="D14" s="93" t="inlineStr">
        <is>
          <t>✅ DONE (verified 2026-08-09): CTAs extended to pre-June evergreens #1/#3/#7 (after-intro callout + 5-property box; #1 used the drafted copy). Remaining: #5/#10; a couple mid-article 'Where to Stay' mentions still 1BR/2BR-only.</t>
        </is>
      </c>
    </row>
    <row r="15" ht="30" customHeight="1" s="104">
      <c r="A15" s="90" t="inlineStr">
        <is>
          <t>C3</t>
        </is>
      </c>
      <c r="B15" s="91" t="inlineStr">
        <is>
          <t>conversion tracking</t>
        </is>
      </c>
      <c r="C15" s="91" t="inlineStr">
        <is>
          <t>Site-wide (GA4)</t>
        </is>
      </c>
      <c r="D15" s="91" t="inlineStr">
        <is>
          <t>✅ SHIPPED (verified 2026-08-09): GA4 G-2SV2PXYB7T live on both domains; check_availability data-hooks in HTML. TODO: confirm booking_confirmed/book_click in GA4 DebugView + mark key events; finish generate_lead.</t>
        </is>
      </c>
    </row>
    <row r="16">
      <c r="A16" s="92" t="inlineStr">
        <is>
          <t>C4</t>
        </is>
      </c>
      <c r="B16" s="93" t="inlineStr">
        <is>
          <t>email capture / lead magnet</t>
        </is>
      </c>
      <c r="C16" s="93" t="inlineStr">
        <is>
          <t>Blog</t>
        </is>
      </c>
      <c r="D16" s="93" t="inlineStr">
        <is>
          <t>Add 'Lipa Weekend Planner' lead magnet + capture forms + 4-email nurture (Fix #4).</t>
        </is>
      </c>
    </row>
    <row r="17" ht="45" customHeight="1" s="104">
      <c r="A17" s="92" t="inlineStr">
        <is>
          <t>C5</t>
        </is>
      </c>
      <c r="B17" s="93" t="inlineStr">
        <is>
          <t>booking friction (4 fixes)</t>
        </is>
      </c>
      <c r="C17" s="93" t="inlineStr">
        <is>
          <t>Property pages / cards</t>
        </is>
      </c>
      <c r="D17" s="93" t="inlineStr">
        <is>
          <t>✅ DONE (verified 2026-08-09): cards 'Check Availability' (0 'View Details'); itemized DB fees ('covers N', extra-guest, 'no hidden fees'); sticky booking CTA. Deposit/partial intentionally excluded. Check: remaining 'Additional charge' strings are itemized not vague.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0"/>
  <sheetViews>
    <sheetView showGridLines="0" workbookViewId="0">
      <pane xSplit="1" ySplit="1" topLeftCell="B2" activePane="bottomRight" state="frozen"/>
      <selection activeCell="F19" sqref="F19"/>
      <selection pane="topRight" activeCell="F19" sqref="F19"/>
      <selection pane="bottomLeft" activeCell="F19" sqref="F19"/>
      <selection pane="bottomRight" activeCell="G42" sqref="G42"/>
    </sheetView>
  </sheetViews>
  <sheetFormatPr baseColWidth="10" defaultColWidth="8.83203125" defaultRowHeight="15"/>
  <cols>
    <col width="62.83203125" bestFit="1" customWidth="1" style="104" min="1" max="1"/>
    <col width="22" customWidth="1" style="104" min="2" max="2"/>
    <col width="38" customWidth="1" style="104" min="3" max="3"/>
    <col width="24" customWidth="1" style="104" min="4" max="4"/>
    <col width="18" customWidth="1" style="104" min="5" max="6"/>
    <col width="42" customWidth="1" style="104" min="7" max="7"/>
    <col width="50" customWidth="1" style="104" min="8" max="8"/>
  </cols>
  <sheetData>
    <row r="1" ht="38" customHeight="1" s="104">
      <c r="A1" s="23" t="inlineStr">
        <is>
          <t>URL</t>
        </is>
      </c>
      <c r="B1" s="23" t="inlineStr">
        <is>
          <t>Page Type</t>
        </is>
      </c>
      <c r="C1" s="23" t="inlineStr">
        <is>
          <t>Linked Cluster / Keywords</t>
        </is>
      </c>
      <c r="D1" s="23" t="inlineStr">
        <is>
          <t>Indexing Status</t>
        </is>
      </c>
      <c r="E1" s="23" t="inlineStr">
        <is>
          <t>Last Crawled (GSC)</t>
        </is>
      </c>
      <c r="F1" s="23" t="inlineStr">
        <is>
          <t>Last Checked (you)</t>
        </is>
      </c>
      <c r="G1" s="23" t="inlineStr">
        <is>
          <t>Action Needed</t>
        </is>
      </c>
      <c r="H1" s="23" t="inlineStr">
        <is>
          <t>Notes</t>
        </is>
      </c>
    </row>
    <row r="2" ht="34" customHeight="1" s="104">
      <c r="A2" s="24" t="inlineStr">
        <is>
          <t>https://haveninlipa.com/</t>
        </is>
      </c>
      <c r="B2" s="24" t="inlineStr">
        <is>
          <t>Homepage</t>
        </is>
      </c>
      <c r="C2" s="24" t="inlineStr">
        <is>
          <t>Brand SERP + Cluster 1 transactional</t>
        </is>
      </c>
      <c r="D2" s="25" t="inlineStr">
        <is>
          <t>Indexed</t>
        </is>
      </c>
      <c r="E2" s="24" t="inlineStr">
        <is>
          <t>2026-06-24</t>
        </is>
      </c>
      <c r="F2" s="24" t="inlineStr">
        <is>
          <t>2026-07-04</t>
        </is>
      </c>
      <c r="G2" s="24" t="inlineStr">
        <is>
          <t>Monitor weekly for brand term ranking</t>
        </is>
      </c>
      <c r="H2" s="24" t="inlineStr">
        <is>
          <t>Verified indexed (GSC May 18, 2026). Brand SERP + Cluster 1.</t>
        </is>
      </c>
    </row>
    <row r="3" ht="34" customHeight="1" s="104">
      <c r="A3" s="26" t="inlineStr">
        <is>
          <t>https://www.haveninlipa.com/</t>
        </is>
      </c>
      <c r="B3" s="26" t="inlineStr">
        <is>
          <t>Homepage (www)</t>
        </is>
      </c>
      <c r="C3" s="26" t="inlineStr">
        <is>
          <t>Same as apex</t>
        </is>
      </c>
      <c r="D3" s="85" t="inlineStr">
        <is>
          <t>Not indexed – canonicalized</t>
        </is>
      </c>
      <c r="E3" s="26" t="inlineStr">
        <is>
          <t>2026-04-18</t>
        </is>
      </c>
      <c r="F3" s="26" t="inlineStr">
        <is>
          <t>2026-06-02</t>
        </is>
      </c>
      <c r="G3" s="26" t="inlineStr">
        <is>
          <t>OK — no longer separately indexed; canonicalized to apex. Duplicate-content concern resolved.</t>
        </is>
      </c>
      <c r="H3" s="26" t="inlineStr">
        <is>
          <t>Not present in May 2026 GSC indexed set (only apex). Good outcome.</t>
        </is>
      </c>
    </row>
    <row r="4" ht="34" customHeight="1" s="104">
      <c r="A4" s="24" t="inlineStr">
        <is>
          <t>https://haveninlipa.com/properties/spacious-2-bedroom</t>
        </is>
      </c>
      <c r="B4" s="24" t="inlineStr">
        <is>
          <t>Property page</t>
        </is>
      </c>
      <c r="C4" s="24" t="inlineStr">
        <is>
          <t>Cluster 1 (transactional)</t>
        </is>
      </c>
      <c r="D4" s="25" t="inlineStr">
        <is>
          <t>Indexed</t>
        </is>
      </c>
      <c r="E4" s="24" t="inlineStr">
        <is>
          <t>2026-06-26</t>
        </is>
      </c>
      <c r="F4" s="24" t="inlineStr">
        <is>
          <t>2026-07-04</t>
        </is>
      </c>
      <c r="G4" s="24" t="inlineStr">
        <is>
          <t>Expand to 1,500+ words per May 8 strategy report</t>
        </is>
      </c>
      <c r="H4" s="24" t="inlineStr">
        <is>
          <t>Verified indexed (GSC May 17, 2026).</t>
        </is>
      </c>
    </row>
    <row r="5" ht="34" customHeight="1" s="104">
      <c r="A5" s="26" t="inlineStr">
        <is>
          <t>https://haveninlipa.com/properties/cozy-1-bedroom</t>
        </is>
      </c>
      <c r="B5" s="26" t="inlineStr">
        <is>
          <t>Property page</t>
        </is>
      </c>
      <c r="C5" s="26" t="inlineStr">
        <is>
          <t>Cluster 1 (transactional) + couple keywords</t>
        </is>
      </c>
      <c r="D5" s="25" t="inlineStr">
        <is>
          <t>Indexed</t>
        </is>
      </c>
      <c r="E5" s="26" t="inlineStr">
        <is>
          <t>2026-06-26</t>
        </is>
      </c>
      <c r="F5" s="26" t="inlineStr">
        <is>
          <t>2026-07-04</t>
        </is>
      </c>
      <c r="G5" s="26" t="inlineStr">
        <is>
          <t>Expand to 1,500+ words; feature 1BR for couples</t>
        </is>
      </c>
      <c r="H5" s="26" t="inlineStr">
        <is>
          <t>Verified indexed (GSC May 17, 2026).</t>
        </is>
      </c>
    </row>
    <row r="6" ht="34" customHeight="1" s="104">
      <c r="A6" s="24" t="inlineStr">
        <is>
          <t>https://haveninlipa.com/about</t>
        </is>
      </c>
      <c r="B6" s="24" t="inlineStr">
        <is>
          <t>About page</t>
        </is>
      </c>
      <c r="C6" s="24" t="inlineStr">
        <is>
          <t>Brand SERP</t>
        </is>
      </c>
      <c r="D6" s="25" t="inlineStr">
        <is>
          <t>Indexed</t>
        </is>
      </c>
      <c r="E6" s="24" t="inlineStr">
        <is>
          <t>2026-05-17</t>
        </is>
      </c>
      <c r="F6" s="24" t="inlineStr">
        <is>
          <t>2026-07-04</t>
        </is>
      </c>
      <c r="G6" s="24" t="inlineStr">
        <is>
          <t>Add author credentials and local Lipa story for E-E-A-T</t>
        </is>
      </c>
      <c r="H6" s="24" t="inlineStr">
        <is>
          <t>Verified indexed (GSC May 17, 2026).</t>
        </is>
      </c>
    </row>
    <row r="7" ht="34" customHeight="1" s="104">
      <c r="A7" s="26" t="inlineStr">
        <is>
          <t>https://haveninlipa.com/faq</t>
        </is>
      </c>
      <c r="B7" s="26" t="inlineStr">
        <is>
          <t>FAQ page</t>
        </is>
      </c>
      <c r="C7" s="26" t="inlineStr">
        <is>
          <t>Brand SERP + multiple long-tail</t>
        </is>
      </c>
      <c r="D7" s="25" t="inlineStr">
        <is>
          <t>Indexed</t>
        </is>
      </c>
      <c r="E7" s="26" t="inlineStr">
        <is>
          <t>2026-06-24</t>
        </is>
      </c>
      <c r="F7" s="26" t="inlineStr">
        <is>
          <t>2026-07-04</t>
        </is>
      </c>
      <c r="G7" s="26" t="inlineStr">
        <is>
          <t>Add FAQ schema markup for rich results</t>
        </is>
      </c>
      <c r="H7" s="26" t="inlineStr">
        <is>
          <t>Verified indexed (GSC May 8, 2026)</t>
        </is>
      </c>
    </row>
    <row r="8" ht="34" customHeight="1" s="104">
      <c r="A8" s="24" t="inlineStr">
        <is>
          <t>https://haveninlipa.com/privacy</t>
        </is>
      </c>
      <c r="B8" s="24" t="inlineStr">
        <is>
          <t>Legal</t>
        </is>
      </c>
      <c r="C8" s="24" t="inlineStr">
        <is>
          <t>N/A</t>
        </is>
      </c>
      <c r="D8" s="25" t="inlineStr">
        <is>
          <t>Indexed</t>
        </is>
      </c>
      <c r="E8" s="24" t="inlineStr">
        <is>
          <t>2026-06-24</t>
        </is>
      </c>
      <c r="F8" s="24" t="inlineStr">
        <is>
          <t>2026-07-04</t>
        </is>
      </c>
      <c r="G8" s="24" t="inlineStr">
        <is>
          <t>No action needed</t>
        </is>
      </c>
      <c r="H8" s="24" t="inlineStr">
        <is>
          <t>Verified indexed (GSC May 8, 2026)</t>
        </is>
      </c>
    </row>
    <row r="9" ht="34" customHeight="1" s="104">
      <c r="A9" s="26" t="inlineStr">
        <is>
          <t>https://haveninlipa.com/terms</t>
        </is>
      </c>
      <c r="B9" s="26" t="inlineStr">
        <is>
          <t>Legal</t>
        </is>
      </c>
      <c r="C9" s="26" t="inlineStr">
        <is>
          <t>N/A</t>
        </is>
      </c>
      <c r="D9" s="25" t="inlineStr">
        <is>
          <t>Indexed</t>
        </is>
      </c>
      <c r="E9" s="26" t="inlineStr">
        <is>
          <t>2026-05-08</t>
        </is>
      </c>
      <c r="F9" s="26" t="inlineStr">
        <is>
          <t>2026-07-04</t>
        </is>
      </c>
      <c r="G9" s="26" t="inlineStr">
        <is>
          <t>No action needed</t>
        </is>
      </c>
      <c r="H9" s="26" t="inlineStr">
        <is>
          <t>Verified indexed (GSC May 8, 2026)</t>
        </is>
      </c>
    </row>
    <row r="10" ht="34" customHeight="1" s="104">
      <c r="A10" s="24" t="inlineStr">
        <is>
          <t>https://blog.haveninlipa.com/</t>
        </is>
      </c>
      <c r="B10" s="24" t="inlineStr">
        <is>
          <t>Blog index</t>
        </is>
      </c>
      <c r="C10" s="24" t="inlineStr">
        <is>
          <t>All blog clusters</t>
        </is>
      </c>
      <c r="D10" s="25" t="inlineStr">
        <is>
          <t>Indexed</t>
        </is>
      </c>
      <c r="E10" s="24" t="inlineStr">
        <is>
          <t>2026-06-25</t>
        </is>
      </c>
      <c r="F10" s="24" t="inlineStr">
        <is>
          <t>2026-07-04</t>
        </is>
      </c>
      <c r="G10" s="24" t="inlineStr">
        <is>
          <t>Ensure latest article is featured at top; sticky 'Book Direct' CTA</t>
        </is>
      </c>
      <c r="H10" s="24" t="inlineStr">
        <is>
          <t>Verified indexed (GSC May 17, 2026).</t>
        </is>
      </c>
    </row>
    <row r="11" ht="34" customHeight="1" s="104">
      <c r="A11" s="26" t="inlineStr">
        <is>
          <t>https://blog.haveninlipa.com/category/booking-tips/</t>
        </is>
      </c>
      <c r="B11" s="26" t="inlineStr">
        <is>
          <t>Blog category</t>
        </is>
      </c>
      <c r="C11" s="26" t="inlineStr">
        <is>
          <t>Cluster 5 (direct booking)</t>
        </is>
      </c>
      <c r="D11" s="85" t="inlineStr">
        <is>
          <t>noindexed</t>
        </is>
      </c>
      <c r="E11" s="26" t="inlineStr">
        <is>
          <t>2026-04-30</t>
        </is>
      </c>
      <c r="F11" s="26" t="n"/>
      <c r="G11" s="26" t="inlineStr">
        <is>
          <t>Add intro copy to category page (currently thin)</t>
        </is>
      </c>
      <c r="H11" s="26" t="inlineStr">
        <is>
          <t>Verified indexed (GSC Apr 30, 2026)</t>
        </is>
      </c>
    </row>
    <row r="12" ht="34" customHeight="1" s="104">
      <c r="A12" s="24" t="inlineStr">
        <is>
          <t>https://blog.haveninlipa.com/holy-week-in-lipa-city-batangas-a-peaceful-retreat-near-manila/</t>
        </is>
      </c>
      <c r="B12" s="24" t="inlineStr">
        <is>
          <t>Blog article #8</t>
        </is>
      </c>
      <c r="C12" s="24" t="inlineStr">
        <is>
          <t>holy week getaway lipa</t>
        </is>
      </c>
      <c r="D12" s="25" t="inlineStr">
        <is>
          <t>Indexed</t>
        </is>
      </c>
      <c r="E12" s="24" t="inlineStr">
        <is>
          <t>2026-05-06</t>
        </is>
      </c>
      <c r="F12" s="24" t="inlineStr">
        <is>
          <t>2026-07-04</t>
        </is>
      </c>
      <c r="G12" s="24" t="inlineStr">
        <is>
          <t>Evergreen reframe DONE (live, index,follow, in sitemap). Re-promote ~Feb 2027 for Holy Week.</t>
        </is>
      </c>
      <c r="H12" s="24" t="inlineStr">
        <is>
          <t>Confirmed live 200 + in post-sitemap 2026-06-18. Was 404 mid-June; restored as evergreen.</t>
        </is>
      </c>
    </row>
    <row r="13" ht="34" customHeight="1" s="104">
      <c r="A13" s="26" t="inlineStr">
        <is>
          <t>https://blog.haveninlipa.com/15-best-things-to-do-in-lipa-city-batangas-2026-locals-guide/</t>
        </is>
      </c>
      <c r="B13" s="26" t="inlineStr">
        <is>
          <t>Blog article #1</t>
        </is>
      </c>
      <c r="C13" s="26" t="inlineStr">
        <is>
          <t>Cluster 2 (things to do)</t>
        </is>
      </c>
      <c r="D13" s="25" t="inlineStr">
        <is>
          <t>Indexed</t>
        </is>
      </c>
      <c r="E13" s="26" t="inlineStr">
        <is>
          <t>2026-05-17</t>
        </is>
      </c>
      <c r="F13" s="26" t="inlineStr">
        <is>
          <t>2026-07-04</t>
        </is>
      </c>
      <c r="G13" s="26" t="inlineStr">
        <is>
          <t>None — confirmed indexed (GSC). Monitor weekly.</t>
        </is>
      </c>
      <c r="H13" s="26" t="inlineStr">
        <is>
          <t>Targets: things to do in lipa city, lipa city tourist spots, lipa batangas attractions. URL synced to live slug 2026-06-02.</t>
        </is>
      </c>
    </row>
    <row r="14" ht="34" customHeight="1" s="104">
      <c r="A14" s="24" t="inlineStr">
        <is>
          <t>https://blog.haveninlipa.com/weekend-getaway-in-lipa-city-batangas-your-chill-escape-near-manila/</t>
        </is>
      </c>
      <c r="B14" s="24" t="inlineStr">
        <is>
          <t>Blog article #3</t>
        </is>
      </c>
      <c r="C14" s="24" t="inlineStr">
        <is>
          <t>Cluster 3 (weekend getaway)</t>
        </is>
      </c>
      <c r="D14" s="25" t="inlineStr">
        <is>
          <t>Indexed</t>
        </is>
      </c>
      <c r="E14" s="24" t="inlineStr">
        <is>
          <t>2026-06-29</t>
        </is>
      </c>
      <c r="F14" s="24" t="inlineStr">
        <is>
          <t>2026-07-04</t>
        </is>
      </c>
      <c r="G14" s="24" t="inlineStr">
        <is>
          <t>None — confirmed indexed (GSC). Monitor weekly.</t>
        </is>
      </c>
      <c r="H14" s="24" t="inlineStr">
        <is>
          <t>Targets: weekend getaway near manila. URL synced to live slug 2026-06-02.</t>
        </is>
      </c>
    </row>
    <row r="15" ht="34" customHeight="1" s="104">
      <c r="A15" s="26" t="inlineStr">
        <is>
          <t>https://blog.haveninlipa.com/mt-maculot-hiking-guide-2026-trail-tips-routes-where-to-stay-in-lipa/</t>
        </is>
      </c>
      <c r="B15" s="26" t="inlineStr">
        <is>
          <t>Blog article #4</t>
        </is>
      </c>
      <c r="C15" s="26" t="inlineStr">
        <is>
          <t>Cluster 2 (informational)</t>
        </is>
      </c>
      <c r="D15" s="25" t="inlineStr">
        <is>
          <t>Indexed</t>
        </is>
      </c>
      <c r="E15" s="26" t="inlineStr">
        <is>
          <t>2026-06-29</t>
        </is>
      </c>
      <c r="F15" s="26" t="inlineStr">
        <is>
          <t>2026-07-04</t>
        </is>
      </c>
      <c r="G15" s="26" t="inlineStr">
        <is>
          <t>None — confirmed indexed (GSC). Monitor weekly.</t>
        </is>
      </c>
      <c r="H15" s="26" t="inlineStr">
        <is>
          <t>Targets: mt maculot hiking guide. URL synced to live slug 2026-06-02.</t>
        </is>
      </c>
    </row>
    <row r="16" ht="34" customHeight="1" s="104">
      <c r="A16" s="24" t="inlineStr">
        <is>
          <t>https://blog.haveninlipa.com/best-restaurants-cafes-in-lipa-city-batangas-2026-food-guide/</t>
        </is>
      </c>
      <c r="B16" s="24" t="inlineStr">
        <is>
          <t>Blog article #5</t>
        </is>
      </c>
      <c r="C16" s="24" t="inlineStr">
        <is>
          <t>Cluster 4 (food/travel planning)</t>
        </is>
      </c>
      <c r="D16" s="25" t="inlineStr">
        <is>
          <t>Indexed</t>
        </is>
      </c>
      <c r="E16" s="24" t="inlineStr">
        <is>
          <t>2026-06-26</t>
        </is>
      </c>
      <c r="F16" s="24" t="inlineStr">
        <is>
          <t>2026-07-04</t>
        </is>
      </c>
      <c r="G16" s="24" t="inlineStr">
        <is>
          <t>None — confirmed indexed (GSC). Monitor weekly.</t>
        </is>
      </c>
      <c r="H16" s="24" t="inlineStr">
        <is>
          <t>Targets: best restaurants in lipa, lipa city food trip. URL synced to live slug 2026-06-02.</t>
        </is>
      </c>
    </row>
    <row r="17" ht="34" customHeight="1" s="104">
      <c r="A17" s="26" t="inlineStr">
        <is>
          <t>https://blog.haveninlipa.com/why-book-direct-instead-of-airbnb-a-philippines-hosts-honest-take/</t>
        </is>
      </c>
      <c r="B17" s="26" t="inlineStr">
        <is>
          <t>Blog article #6</t>
        </is>
      </c>
      <c r="C17" s="26" t="inlineStr">
        <is>
          <t>Cluster 5 (direct booking) - HIGH priority</t>
        </is>
      </c>
      <c r="D17" s="25" t="inlineStr">
        <is>
          <t>Indexed</t>
        </is>
      </c>
      <c r="E17" s="26" t="inlineStr">
        <is>
          <t>2026-05-19</t>
        </is>
      </c>
      <c r="F17" s="26" t="inlineStr">
        <is>
          <t>2026-07-04</t>
        </is>
      </c>
      <c r="G17" s="26" t="inlineStr">
        <is>
          <t>None — confirmed indexed (GSC). Monitor weekly.</t>
        </is>
      </c>
      <c r="H17" s="26" t="inlineStr">
        <is>
          <t>Targets: book direct vs airbnb, save on vacation rental fees, airbnb alternative lipa. URL synced to live slug 2026-06-02.</t>
        </is>
      </c>
    </row>
    <row r="18" ht="34" customHeight="1" s="104">
      <c r="A18" s="24" t="inlineStr">
        <is>
          <t>https://blog.haveninlipa.com/taal-volcano-day-trip-from-lipa-city-2026-updated-guide/</t>
        </is>
      </c>
      <c r="B18" s="24" t="inlineStr">
        <is>
          <t>Blog article #7</t>
        </is>
      </c>
      <c r="C18" s="24" t="inlineStr">
        <is>
          <t>Cluster 2 (day trip)</t>
        </is>
      </c>
      <c r="D18" s="25" t="inlineStr">
        <is>
          <t>Indexed</t>
        </is>
      </c>
      <c r="E18" s="24" t="inlineStr">
        <is>
          <t>2026-06-29</t>
        </is>
      </c>
      <c r="F18" s="24" t="inlineStr">
        <is>
          <t>2026-07-04</t>
        </is>
      </c>
      <c r="G18" s="24" t="inlineStr">
        <is>
          <t>None — confirmed indexed (GSC). Monitor weekly.</t>
        </is>
      </c>
      <c r="H18" s="24" t="inlineStr">
        <is>
          <t>Targets: taal volcano day trip from lipa. URL synced to live slug 2026-06-02.</t>
        </is>
      </c>
    </row>
    <row r="19" ht="34" customHeight="1" s="104">
      <c r="A19" s="26" t="inlineStr">
        <is>
          <t>https://blog.haveninlipa.com/work-from-lipa-the-affordable-remote-work-staycation-near-manila/</t>
        </is>
      </c>
      <c r="B19" s="26" t="inlineStr">
        <is>
          <t>Blog article #9</t>
        </is>
      </c>
      <c r="C19" s="26" t="inlineStr">
        <is>
          <t>Cluster 3 (remote work)</t>
        </is>
      </c>
      <c r="D19" s="25" t="inlineStr">
        <is>
          <t>Indexed</t>
        </is>
      </c>
      <c r="E19" s="26" t="inlineStr">
        <is>
          <t>2026-06-26</t>
        </is>
      </c>
      <c r="F19" s="26" t="inlineStr">
        <is>
          <t>2026-07-04</t>
        </is>
      </c>
      <c r="G19" s="26" t="inlineStr">
        <is>
          <t>None — confirmed indexed (GSC). Monitor weekly.</t>
        </is>
      </c>
      <c r="H19" s="26" t="inlineStr">
        <is>
          <t>Targets: remote work staycation philippines, work from lipa. URL synced to live slug 2026-06-02.</t>
        </is>
      </c>
    </row>
    <row r="20" ht="34" customHeight="1" s="104">
      <c r="A20" s="24" t="inlineStr">
        <is>
          <t>https://blog.haveninlipa.com/how-to-get-to-lipa-city-from-manila-2026-guide/</t>
        </is>
      </c>
      <c r="B20" s="24" t="inlineStr">
        <is>
          <t>Blog article #10</t>
        </is>
      </c>
      <c r="C20" s="24" t="inlineStr">
        <is>
          <t>Cluster 4 (logistics)</t>
        </is>
      </c>
      <c r="D20" s="82" t="inlineStr">
        <is>
          <t>Indexed</t>
        </is>
      </c>
      <c r="E20" s="24" t="inlineStr">
        <is>
          <t>2026-06-28</t>
        </is>
      </c>
      <c r="F20" s="24" t="inlineStr">
        <is>
          <t>2026-07-04</t>
        </is>
      </c>
      <c r="G20" s="24" t="inlineStr">
        <is>
          <t>Indexed ✓ (GSC 2026-06-28) — monitor.</t>
        </is>
      </c>
      <c r="H20" s="24" t="inlineStr">
        <is>
          <t>Targets: how to get to lipa from manila, lipa city travel guide. Was reported 404; confirmed live + indexed 2026-06-02. | Confirmed indexed (GSC crawl 2026-06-28); verified 2026-07-04.</t>
        </is>
      </c>
    </row>
    <row r="21" ht="34" customHeight="1" s="104">
      <c r="A21" s="46" t="inlineStr">
        <is>
          <t>https://blog.haveninlipa.com/family-staycation-lipa-city-batangas/</t>
        </is>
      </c>
      <c r="B21" s="26" t="inlineStr">
        <is>
          <t>Blog article #11</t>
        </is>
      </c>
      <c r="C21" s="26" t="inlineStr">
        <is>
          <t>Cluster 3 (family) - HIGH priority</t>
        </is>
      </c>
      <c r="D21" s="25" t="inlineStr">
        <is>
          <t>Indexed</t>
        </is>
      </c>
      <c r="E21" s="26" t="inlineStr">
        <is>
          <t>2026-06-28</t>
        </is>
      </c>
      <c r="F21" s="26" t="inlineStr">
        <is>
          <t>2026-07-04</t>
        </is>
      </c>
      <c r="G21" s="26" t="inlineStr">
        <is>
          <t>Confirm indexed in next GSC pull.</t>
        </is>
      </c>
      <c r="H21" s="26" t="inlineStr">
        <is>
          <t>Live slug confirmed 2026-06-18 (family-staycation-lipa-city-batangas). In sitemap.</t>
        </is>
      </c>
    </row>
    <row r="22" ht="34" customHeight="1" s="104">
      <c r="A22" s="47" t="inlineStr">
        <is>
          <t>https://blog.haveninlipa.com/romantic-getaway-batangas-lipa-city/</t>
        </is>
      </c>
      <c r="B22" s="24" t="inlineStr">
        <is>
          <t>Blog article #12</t>
        </is>
      </c>
      <c r="C22" s="24" t="inlineStr">
        <is>
          <t>Cluster 3 (couples) - HIGH priority</t>
        </is>
      </c>
      <c r="D22" s="25" t="inlineStr">
        <is>
          <t>Indexed</t>
        </is>
      </c>
      <c r="E22" s="24" t="inlineStr">
        <is>
          <t>2026-06-26</t>
        </is>
      </c>
      <c r="F22" s="24" t="inlineStr">
        <is>
          <t>2026-07-04</t>
        </is>
      </c>
      <c r="G22" s="24" t="inlineStr">
        <is>
          <t>Confirm indexed in next GSC pull.</t>
        </is>
      </c>
      <c r="H22" s="24" t="inlineStr">
        <is>
          <t>Live slug confirmed 2026-06-18 (romantic-getaway-batangas-lipa-city). In sitemap.</t>
        </is>
      </c>
    </row>
    <row r="23" ht="34" customHeight="1" s="104">
      <c r="A23" s="46" t="inlineStr">
        <is>
          <t>https://blog.haveninlipa.com/mickey-in-lipa-coming-soon/</t>
        </is>
      </c>
      <c r="B23" s="26" t="inlineStr">
        <is>
          <t>Blog article #13</t>
        </is>
      </c>
      <c r="C23" s="26" t="inlineStr">
        <is>
          <t>Cluster 6 (Mickey in Lipa launch)</t>
        </is>
      </c>
      <c r="D23" s="25" t="inlineStr">
        <is>
          <t>Indexed</t>
        </is>
      </c>
      <c r="E23" s="26" t="inlineStr">
        <is>
          <t>2026-06-28</t>
        </is>
      </c>
      <c r="F23" s="26" t="inlineStr">
        <is>
          <t>2026-07-04</t>
        </is>
      </c>
      <c r="G23" s="26" t="inlineStr">
        <is>
          <t>Confirm indexed in next GSC pull.</t>
        </is>
      </c>
      <c r="H23" s="26" t="inlineStr">
        <is>
          <t>Now a LAUNCH post (top update + links to 3 live config pages). Real photos live. Slug: mickey-in-lipa-coming-soon.</t>
        </is>
      </c>
    </row>
    <row r="24" ht="34" customHeight="1" s="104">
      <c r="A24" s="47" t="inlineStr">
        <is>
          <t>https://blog.haveninlipa.com/family-weekend-batangas-without-beach-crowds/</t>
        </is>
      </c>
      <c r="B24" s="24" t="inlineStr">
        <is>
          <t>Blog article #14</t>
        </is>
      </c>
      <c r="C24" s="24" t="inlineStr">
        <is>
          <t>Cluster 3 (family) - NEW</t>
        </is>
      </c>
      <c r="D24" s="82" t="inlineStr">
        <is>
          <t>Indexed</t>
        </is>
      </c>
      <c r="E24" s="24" t="inlineStr">
        <is>
          <t>2026-06-25</t>
        </is>
      </c>
      <c r="F24" s="24" t="inlineStr">
        <is>
          <t>2026-07-04</t>
        </is>
      </c>
      <c r="G24" s="24" t="inlineStr">
        <is>
          <t>Indexed ✓ (GSC 2026-06-25) — monitor.</t>
        </is>
      </c>
      <c r="H24" s="24" t="inlineStr">
        <is>
          <t>Targets: family weekend batangas, weekend near manila with family, batangas without beach crowds, lipa family itinerary. Live slug unconfirmed. | Confirmed indexed (GSC crawl 2026-06-25); verified 2026-07-04.</t>
        </is>
      </c>
    </row>
    <row r="25" ht="34" customHeight="1" s="104">
      <c r="A25" s="46" t="inlineStr">
        <is>
          <t>https://haveninlipa.com/properties/mickey-in-lipa--family-staycation--sleeps-7</t>
        </is>
      </c>
      <c r="B25" s="26" t="inlineStr">
        <is>
          <t>Property page (Mickey)</t>
        </is>
      </c>
      <c r="C25" s="26" t="inlineStr">
        <is>
          <t>Cluster 6 / Cluster 1 — Mickey sleeps 7</t>
        </is>
      </c>
      <c r="D25" s="82" t="inlineStr">
        <is>
          <t>Indexed</t>
        </is>
      </c>
      <c r="E25" s="26" t="inlineStr">
        <is>
          <t>2026-06-25</t>
        </is>
      </c>
      <c r="F25" s="26" t="inlineStr">
        <is>
          <t>2026-07-04</t>
        </is>
      </c>
      <c r="G25" s="26" t="inlineStr">
        <is>
          <t>Indexed ✓ (GSC 2026-06-25) — monitor.</t>
        </is>
      </c>
      <c r="H25" s="26" t="inlineStr">
        <is>
          <t>Mickey sleeps up to 7 (rate covers 5). ₱2,400/night, real photos. Live 2026-06-18. | Confirmed indexed (GSC crawl 2026-06-25); verified 2026-07-04.</t>
        </is>
      </c>
    </row>
    <row r="26" ht="34" customHeight="1" s="104">
      <c r="A26" s="24" t="inlineStr">
        <is>
          <t>https://blog.haveninlipa.com/barkada-getaway-near-manila-why-a-whole-house-in-lipa-beats-a-beach-resort-cost-per-head-math-inside/</t>
        </is>
      </c>
      <c r="B26" s="24" t="inlineStr">
        <is>
          <t>Blog article #27</t>
        </is>
      </c>
      <c r="C26" s="24" t="inlineStr">
        <is>
          <t>Cluster 3 (barkada)</t>
        </is>
      </c>
      <c r="D26" s="101" t="inlineStr">
        <is>
          <t>Live – verify GSC</t>
        </is>
      </c>
      <c r="E26" s="24" t="n"/>
      <c r="F26" s="24" t="inlineStr">
        <is>
          <t>2026-08-09</t>
        </is>
      </c>
      <c r="G26" s="24" t="inlineStr">
        <is>
          <t>Published — in sitemap (lastmod 2026-08-10); confirm GSC indexing.</t>
        </is>
      </c>
      <c r="H26" s="24" t="inlineStr">
        <is>
          <t>Barkada gap article now LIVE; live slug lengthened vs planned 'barkada-getaway-lipa-whole-house-near-manila'. Mickey CTAs added to draft 2026-08-09.</t>
        </is>
      </c>
    </row>
    <row r="27" ht="34" customHeight="1" s="104">
      <c r="A27" s="26" t="inlineStr">
        <is>
          <t>(TBD) https://blog.haveninlipa.com/summer-in-lipa-2026/</t>
        </is>
      </c>
      <c r="B27" s="26" t="inlineStr">
        <is>
          <t>Future seasonal LP</t>
        </is>
      </c>
      <c r="C27" s="26" t="inlineStr">
        <is>
          <t>Cluster 3 (seasonal)</t>
        </is>
      </c>
      <c r="D27" s="27" t="inlineStr">
        <is>
          <t>Page Not Published</t>
        </is>
      </c>
      <c r="E27" s="26" t="n"/>
      <c r="F27" s="26" t="n"/>
      <c r="G27" s="26" t="inlineStr">
        <is>
          <t>Publish before May-June 2026 peak; landing page format</t>
        </is>
      </c>
      <c r="H27" s="26" t="inlineStr">
        <is>
          <t>Targets: summer in lipa 2026</t>
        </is>
      </c>
    </row>
    <row r="28" ht="34" customHeight="1" s="104">
      <c r="A28" s="24" t="inlineStr">
        <is>
          <t>(TBD) https://blog.haveninlipa.com/batangas-road-trip-itinerary/</t>
        </is>
      </c>
      <c r="B28" s="24" t="inlineStr">
        <is>
          <t>Future hub article</t>
        </is>
      </c>
      <c r="C28" s="24" t="inlineStr">
        <is>
          <t>Cluster 4 (travel planning)</t>
        </is>
      </c>
      <c r="D28" s="27" t="inlineStr">
        <is>
          <t>Page Not Published</t>
        </is>
      </c>
      <c r="E28" s="24" t="n"/>
      <c r="F28" s="24" t="n"/>
      <c r="G28" s="24" t="inlineStr">
        <is>
          <t>Write during Tier C window; will interlink with #1, #4, #5, #7, #10</t>
        </is>
      </c>
      <c r="H28" s="24" t="inlineStr">
        <is>
          <t>Targets: batangas road trip itinerary</t>
        </is>
      </c>
    </row>
    <row r="29" ht="34" customHeight="1" s="104">
      <c r="A29" s="26" t="inlineStr">
        <is>
          <t>(TBD) https://blog.haveninlipa.com/senior-friendly-lipa-getaway/</t>
        </is>
      </c>
      <c r="B29" s="26" t="inlineStr">
        <is>
          <t>Future article (Tier D)</t>
        </is>
      </c>
      <c r="C29" s="26" t="inlineStr">
        <is>
          <t>Cluster 3 (audience)</t>
        </is>
      </c>
      <c r="D29" s="27" t="inlineStr">
        <is>
          <t>Page Not Published</t>
        </is>
      </c>
      <c r="E29" s="26" t="n"/>
      <c r="F29" s="26" t="n"/>
      <c r="G29" s="26" t="inlineStr">
        <is>
          <t>Write during Q3 2026 authority phase</t>
        </is>
      </c>
      <c r="H29" s="26" t="inlineStr">
        <is>
          <t>Targets: senior-friendly lipa getaway</t>
        </is>
      </c>
    </row>
    <row r="30" ht="34" customHeight="1" s="104">
      <c r="A30" s="24" t="inlineStr">
        <is>
          <t>(TBD) https://blog.haveninlipa.com/solo-travel-guide-lipa/</t>
        </is>
      </c>
      <c r="B30" s="24" t="inlineStr">
        <is>
          <t>Future article (Tier D)</t>
        </is>
      </c>
      <c r="C30" s="24" t="inlineStr">
        <is>
          <t>Cluster 3 (audience)</t>
        </is>
      </c>
      <c r="D30" s="27" t="inlineStr">
        <is>
          <t>Page Not Published</t>
        </is>
      </c>
      <c r="E30" s="24" t="n"/>
      <c r="F30" s="24" t="n"/>
      <c r="G30" s="24" t="inlineStr">
        <is>
          <t>Write during Q3 2026 authority phase</t>
        </is>
      </c>
      <c r="H30" s="24" t="inlineStr">
        <is>
          <t>Targets: solo travel guide to lipa</t>
        </is>
      </c>
    </row>
    <row r="31" ht="30" customHeight="1" s="104">
      <c r="A31" s="24" t="inlineStr">
        <is>
          <t>https://blog.haveninlipa.com/tag/barako-coffee/</t>
        </is>
      </c>
      <c r="B31" s="24" t="inlineStr">
        <is>
          <t>Tag archive</t>
        </is>
      </c>
      <c r="C31" s="24" t="inlineStr">
        <is>
          <t>Thin / none (heritage tag)</t>
        </is>
      </c>
      <c r="D31" s="85" t="inlineStr">
        <is>
          <t>noindexed</t>
        </is>
      </c>
      <c r="E31" s="24" t="inlineStr">
        <is>
          <t>2026-05-18</t>
        </is>
      </c>
      <c r="F31" s="24" t="inlineStr">
        <is>
          <t>2026-07-04</t>
        </is>
      </c>
      <c r="G31" s="24" t="inlineStr">
        <is>
          <t>Add noindex,follow to /tag/ archives (low-priority cleanup; thin pages).</t>
        </is>
      </c>
      <c r="H31" s="24" t="inlineStr">
        <is>
          <t>noindex,follow CONFIRMED LIVE in raw HTML 2026-07-04 — pending drop from index on next Google crawl. (/tag/barako-coffee/)</t>
        </is>
      </c>
    </row>
    <row r="32" ht="30" customHeight="1" s="104">
      <c r="A32" s="24" t="inlineStr">
        <is>
          <t>https://blog.haveninlipa.com/tag/batangas/</t>
        </is>
      </c>
      <c r="B32" s="24" t="inlineStr">
        <is>
          <t>Tag archive</t>
        </is>
      </c>
      <c r="C32" s="24" t="inlineStr">
        <is>
          <t>Thin / none</t>
        </is>
      </c>
      <c r="D32" s="85" t="inlineStr">
        <is>
          <t>noindexed</t>
        </is>
      </c>
      <c r="E32" s="24" t="inlineStr">
        <is>
          <t>2026-05-18</t>
        </is>
      </c>
      <c r="F32" s="24" t="inlineStr">
        <is>
          <t>2026-07-04</t>
        </is>
      </c>
      <c r="G32" s="24" t="inlineStr">
        <is>
          <t>Add noindex,follow to /tag/ archives (low-priority cleanup; thin pages).</t>
        </is>
      </c>
      <c r="H32" s="24" t="inlineStr">
        <is>
          <t>noindex,follow re-confirmed live in raw HTML 2026-07-04 — pending drop on next crawl.</t>
        </is>
      </c>
    </row>
    <row r="33" ht="30" customHeight="1" s="104">
      <c r="A33" s="24" t="inlineStr">
        <is>
          <t>https://blog.haveninlipa.com/tag/airbnb/</t>
        </is>
      </c>
      <c r="B33" s="24" t="inlineStr">
        <is>
          <t>Tag archive</t>
        </is>
      </c>
      <c r="C33" s="24" t="inlineStr">
        <is>
          <t>Thin / none</t>
        </is>
      </c>
      <c r="D33" s="85" t="inlineStr">
        <is>
          <t>noindexed</t>
        </is>
      </c>
      <c r="E33" s="24" t="inlineStr">
        <is>
          <t>2026-05-18</t>
        </is>
      </c>
      <c r="F33" s="24" t="inlineStr">
        <is>
          <t>2026-07-04</t>
        </is>
      </c>
      <c r="G33" s="24" t="inlineStr">
        <is>
          <t>Add noindex,follow to /tag/ archives (low-priority cleanup; thin pages).</t>
        </is>
      </c>
      <c r="H33" s="24" t="inlineStr">
        <is>
          <t>noindex,follow CONFIRMED LIVE in raw HTML 2026-07-04 — pending drop from index on next Google crawl. (/tag/airbnb/)</t>
        </is>
      </c>
    </row>
    <row r="34" ht="30" customHeight="1" s="104">
      <c r="A34" s="24" t="inlineStr">
        <is>
          <t>https://blog.haveninlipa.com/author/cassandrakim/</t>
        </is>
      </c>
      <c r="B34" s="24" t="inlineStr">
        <is>
          <t>Author archive</t>
        </is>
      </c>
      <c r="C34" s="24" t="inlineStr">
        <is>
          <t>E-E-A-T author signal</t>
        </is>
      </c>
      <c r="D34" s="85" t="inlineStr">
        <is>
          <t>noindexed</t>
        </is>
      </c>
      <c r="E34" s="24" t="inlineStr">
        <is>
          <t>2026-05-17</t>
        </is>
      </c>
      <c r="F34" s="24" t="inlineStr">
        <is>
          <t>2026-07-04</t>
        </is>
      </c>
      <c r="G34" s="24" t="inlineStr">
        <is>
          <t>Add noindex,follow to /author/ archives (thin) OR build out author bio for E-E-A-T.</t>
        </is>
      </c>
      <c r="H34" s="24" t="inlineStr">
        <is>
          <t>noindex,follow CONFIRMED LIVE in raw HTML 2026-07-04 — pending drop from index on next Google crawl. (/author/cassandrakim/)</t>
        </is>
      </c>
    </row>
    <row r="35" ht="30" customHeight="1" s="104">
      <c r="A35" s="24" t="inlineStr">
        <is>
          <t>https://blog.haveninlipa.com/independence-day-long-weekend-lipa-2026/</t>
        </is>
      </c>
      <c r="B35" s="24" t="inlineStr">
        <is>
          <t>Blog article #15</t>
        </is>
      </c>
      <c r="C35" s="24" t="inlineStr">
        <is>
          <t>Cluster 3 (seasonal/holiday)</t>
        </is>
      </c>
      <c r="D35" s="82" t="inlineStr">
        <is>
          <t>Indexed</t>
        </is>
      </c>
      <c r="E35" s="24" t="inlineStr">
        <is>
          <t>2026-06-18</t>
        </is>
      </c>
      <c r="F35" s="24" t="inlineStr">
        <is>
          <t>2026-07-04</t>
        </is>
      </c>
      <c r="G35" s="24" t="inlineStr">
        <is>
          <t>Indexed ✓ (GSC 2026-06-18) — monitor.</t>
        </is>
      </c>
      <c r="H35" s="24" t="inlineStr">
        <is>
          <t>Published Mon Jun 8 2026. Live + in sitemap 2026-06-18. | Confirmed indexed (GSC crawl 2026-06-18); verified 2026-07-04.</t>
        </is>
      </c>
    </row>
    <row r="36" ht="30" customHeight="1" s="104">
      <c r="A36" s="24" t="inlineStr">
        <is>
          <t>https://blog.haveninlipa.com/indoor-things-to-do-in-lipa-city-when-it-rains/</t>
        </is>
      </c>
      <c r="B36" s="24" t="inlineStr">
        <is>
          <t>Blog article #16</t>
        </is>
      </c>
      <c r="C36" s="24" t="inlineStr">
        <is>
          <t>Cluster 2 (rainy-day things to do)</t>
        </is>
      </c>
      <c r="D36" s="101" t="inlineStr">
        <is>
          <t>Live – verify GSC</t>
        </is>
      </c>
      <c r="E36" s="24" t="n"/>
      <c r="F36" s="24" t="inlineStr">
        <is>
          <t>2026-08-09</t>
        </is>
      </c>
      <c r="G36" s="24" t="inlineStr">
        <is>
          <t>Published &amp; in sitemap; confirm GSC indexing.</t>
        </is>
      </c>
      <c r="H36" s="24" t="inlineStr">
        <is>
          <t>#16 rainy-day — live.</t>
        </is>
      </c>
    </row>
    <row r="37" ht="30" customHeight="1" s="104">
      <c r="A37" s="24" t="inlineStr">
        <is>
          <t>https://blog.haveninlipa.com/lipa-barako-coffee-heritage/</t>
        </is>
      </c>
      <c r="B37" s="24" t="inlineStr">
        <is>
          <t>Blog article #17</t>
        </is>
      </c>
      <c r="C37" s="24" t="inlineStr">
        <is>
          <t>Cluster 2 (heritage)</t>
        </is>
      </c>
      <c r="D37" s="82" t="inlineStr">
        <is>
          <t>Indexed</t>
        </is>
      </c>
      <c r="E37" s="24" t="inlineStr">
        <is>
          <t>2026-06-22</t>
        </is>
      </c>
      <c r="F37" s="24" t="inlineStr">
        <is>
          <t>2026-07-04</t>
        </is>
      </c>
      <c r="G37" s="24" t="inlineStr">
        <is>
          <t>Indexed ✓ (GSC 2026-06-22) — monitor.</t>
        </is>
      </c>
      <c r="H37" s="24" t="inlineStr">
        <is>
          <t>Primary target: lipa barako coffee. Drafted in 050826/; blogger guide embedded. | Confirmed indexed (GSC crawl 2026-06-22); verified 2026-07-04. Live slug is /lipa-barako-coffee-heritage/ (shorter than planned; slug drift corrected).</t>
        </is>
      </c>
    </row>
    <row r="38" ht="30" customHeight="1" s="104">
      <c r="A38" s="24" t="inlineStr">
        <is>
          <t>https://blog.haveninlipa.com/best-lomi-lipa-city/</t>
        </is>
      </c>
      <c r="B38" s="24" t="inlineStr">
        <is>
          <t>Blog article #18</t>
        </is>
      </c>
      <c r="C38" s="24" t="inlineStr">
        <is>
          <t>Cluster 4 (food)</t>
        </is>
      </c>
      <c r="D38" s="27" t="inlineStr">
        <is>
          <t>Live – verify GSC</t>
        </is>
      </c>
      <c r="E38" s="24" t="n"/>
      <c r="F38" s="24" t="inlineStr">
        <is>
          <t>2026-07-04</t>
        </is>
      </c>
      <c r="G38" s="24" t="inlineStr">
        <is>
          <t>Request indexing in GSC; confirm in next pull.</t>
        </is>
      </c>
      <c r="H38" s="24" t="inlineStr">
        <is>
          <t>Published Mon Jun 29 2026. Delta 2026-07-04: confirmed live 200 + index,follow + Article schema + in post-sitemap. SLUG DRIFT CORRECTED: planned best-lomi-lipa-city-local-guide -&gt; live best-lomi-lipa-city.</t>
        </is>
      </c>
    </row>
    <row r="39" ht="30" customHeight="1" s="104">
      <c r="A39" s="48" t="inlineStr">
        <is>
          <t>https://blog.haveninlipa.com/work-from-lipa-rainy-season-july/</t>
        </is>
      </c>
      <c r="B39" s="24" t="inlineStr">
        <is>
          <t>Blog article #19</t>
        </is>
      </c>
      <c r="C39" s="24" t="inlineStr">
        <is>
          <t>Cluster 3 (remote work)</t>
        </is>
      </c>
      <c r="D39" s="101" t="inlineStr">
        <is>
          <t>Live – verify GSC</t>
        </is>
      </c>
      <c r="E39" s="24" t="n"/>
      <c r="F39" s="24" t="inlineStr">
        <is>
          <t>2026-08-09</t>
        </is>
      </c>
      <c r="G39" s="24" t="inlineStr">
        <is>
          <t>Published &amp; in sitemap; confirm GSC indexing.</t>
        </is>
      </c>
      <c r="H39" s="24" t="inlineStr">
        <is>
          <t>#19 work-from-lipa (rainy) — live.</t>
        </is>
      </c>
    </row>
    <row r="40" ht="30" customHeight="1" s="104">
      <c r="A40" s="24" t="inlineStr">
        <is>
          <t>https://blog.haveninlipa.com/lipa-vs-tagaytay-an-honest-comparison-from-a-host-who-lives-in-lipa/</t>
        </is>
      </c>
      <c r="B40" s="24" t="inlineStr">
        <is>
          <t>Blog article #20</t>
        </is>
      </c>
      <c r="C40" s="24" t="inlineStr">
        <is>
          <t>Cluster 3 (comparison)</t>
        </is>
      </c>
      <c r="D40" s="101" t="inlineStr">
        <is>
          <t>Live – verify GSC</t>
        </is>
      </c>
      <c r="E40" s="24" t="n"/>
      <c r="F40" s="24" t="inlineStr">
        <is>
          <t>2026-08-09</t>
        </is>
      </c>
      <c r="G40" s="24" t="inlineStr">
        <is>
          <t>Published &amp; in sitemap; confirm GSC indexing. Slug drift corrected 2026-08-09.</t>
        </is>
      </c>
      <c r="H40" s="24" t="inlineStr">
        <is>
          <t>#20 — live slug lengthened vs planned 'lipa-vs-tagaytay-honest-comparison'.</t>
        </is>
      </c>
    </row>
    <row r="41" ht="30" customHeight="1" s="104">
      <c r="A41" s="24" t="inlineStr">
        <is>
          <t>https://blog.haveninlipa.com/casa-de-segunda-lipa-city/</t>
        </is>
      </c>
      <c r="B41" s="24" t="inlineStr">
        <is>
          <t>Blog article #21</t>
        </is>
      </c>
      <c r="C41" s="24" t="inlineStr">
        <is>
          <t>Cluster 2 (heritage)</t>
        </is>
      </c>
      <c r="D41" s="101" t="inlineStr">
        <is>
          <t>Live – verify GSC</t>
        </is>
      </c>
      <c r="E41" s="24" t="n"/>
      <c r="F41" s="24" t="inlineStr">
        <is>
          <t>2026-08-09</t>
        </is>
      </c>
      <c r="G41" s="24" t="inlineStr">
        <is>
          <t>Published &amp; in sitemap; confirm GSC indexing. Slug drift corrected 2026-08-09.</t>
        </is>
      </c>
      <c r="H41" s="24" t="inlineStr">
        <is>
          <t>#21 — live slug 'casa-de-segunda-lipa-city' (was '...-heritage-walk').</t>
        </is>
      </c>
    </row>
    <row r="42" ht="30" customHeight="1" s="104">
      <c r="A42" s="24" t="inlineStr">
        <is>
          <t>https://blog.haveninlipa.com/lipa-pilgrimage-guide/</t>
        </is>
      </c>
      <c r="B42" s="24" t="inlineStr">
        <is>
          <t>Blog article #22</t>
        </is>
      </c>
      <c r="C42" s="24" t="inlineStr">
        <is>
          <t>Cluster 2 (pilgrimage)</t>
        </is>
      </c>
      <c r="D42" s="101" t="inlineStr">
        <is>
          <t>Live – verify GSC</t>
        </is>
      </c>
      <c r="E42" s="24" t="n"/>
      <c r="F42" s="24" t="inlineStr">
        <is>
          <t>2026-08-09</t>
        </is>
      </c>
      <c r="G42" s="24" t="inlineStr">
        <is>
          <t>Published &amp; in sitemap; confirm GSC indexing. Slug drift corrected 2026-08-09.</t>
        </is>
      </c>
      <c r="H42" s="24" t="inlineStr">
        <is>
          <t>#22 — live slug 'lipa-pilgrimage-guide' (was 'where-to-pray-reflect-rest-...').</t>
        </is>
      </c>
    </row>
    <row r="43" ht="30" customHeight="1" s="104">
      <c r="A43" s="24" t="inlineStr">
        <is>
          <t>https://blog.haveninlipa.com/august-long-weekends-lipa-city-2026/</t>
        </is>
      </c>
      <c r="B43" s="24" t="inlineStr">
        <is>
          <t>Blog article #23</t>
        </is>
      </c>
      <c r="C43" s="24" t="inlineStr">
        <is>
          <t>Cluster 3 (seasonal hub)</t>
        </is>
      </c>
      <c r="D43" s="101" t="inlineStr">
        <is>
          <t>Live – verify GSC</t>
        </is>
      </c>
      <c r="E43" s="24" t="n"/>
      <c r="F43" s="24" t="inlineStr">
        <is>
          <t>2026-08-09</t>
        </is>
      </c>
      <c r="G43" s="24" t="inlineStr">
        <is>
          <t>Published &amp; in sitemap; confirm GSC indexing. Slug drift corrected 2026-08-09.</t>
        </is>
      </c>
      <c r="H43" s="24" t="inlineStr">
        <is>
          <t>#23 — live slug 'august-long-weekends-lipa-city-2026' (was 'lipa-august-long-weekends-2026-booking-guide').</t>
        </is>
      </c>
    </row>
    <row r="44" ht="30" customHeight="1" s="104">
      <c r="A44" s="24" t="inlineStr">
        <is>
          <t>https://blog.haveninlipa.com/lipa-charter-day-history-coffee-town-to-city/</t>
        </is>
      </c>
      <c r="B44" s="24" t="inlineStr">
        <is>
          <t>Blog article #24</t>
        </is>
      </c>
      <c r="C44" s="24" t="inlineStr">
        <is>
          <t>Cluster 2 (history)</t>
        </is>
      </c>
      <c r="D44" s="27" t="inlineStr">
        <is>
          <t>Page Not Published</t>
        </is>
      </c>
      <c r="E44" s="24" t="n"/>
      <c r="F44" s="24" t="inlineStr">
        <is>
          <t>2026-06-02</t>
        </is>
      </c>
      <c r="G44" s="24" t="inlineStr">
        <is>
          <t>Publish Mon Aug 10, 2026 (7:00 AM PHT); request indexing in GSC after publish.</t>
        </is>
      </c>
      <c r="H44" s="24" t="inlineStr">
        <is>
          <t>Primary target: lipa charter day. Drafted in 050826/; blogger guide embedded.</t>
        </is>
      </c>
    </row>
    <row r="45" ht="30" customHeight="1" s="104">
      <c r="A45" s="24" t="inlineStr">
        <is>
          <t>https://blog.haveninlipa.com/ninoy-aquino-day-long-weekend-lipa-2026/</t>
        </is>
      </c>
      <c r="B45" s="24" t="inlineStr">
        <is>
          <t>Blog article #25</t>
        </is>
      </c>
      <c r="C45" s="24" t="inlineStr">
        <is>
          <t>Cluster 3 (seasonal)</t>
        </is>
      </c>
      <c r="D45" s="27" t="inlineStr">
        <is>
          <t>Page Not Published</t>
        </is>
      </c>
      <c r="E45" s="24" t="n"/>
      <c r="F45" s="24" t="inlineStr">
        <is>
          <t>2026-06-02</t>
        </is>
      </c>
      <c r="G45" s="24" t="inlineStr">
        <is>
          <t>Publish Mon Aug 17, 2026 (7:00 AM PHT); request indexing in GSC after publish.</t>
        </is>
      </c>
      <c r="H45" s="24" t="inlineStr">
        <is>
          <t>Primary target: ninoy aquino day long weekend 2026. Drafted in 050826/; blogger guide embedded.</t>
        </is>
      </c>
    </row>
    <row r="46" ht="30" customHeight="1" s="104">
      <c r="A46" s="24" t="inlineStr">
        <is>
          <t>https://blog.haveninlipa.com/heroes-day-weekend-lipa-2026-quiet-itinerary/</t>
        </is>
      </c>
      <c r="B46" s="24" t="inlineStr">
        <is>
          <t>Blog article #26</t>
        </is>
      </c>
      <c r="C46" s="24" t="inlineStr">
        <is>
          <t>Cluster 3 (seasonal)</t>
        </is>
      </c>
      <c r="D46" s="27" t="inlineStr">
        <is>
          <t>Page Not Published</t>
        </is>
      </c>
      <c r="E46" s="24" t="n"/>
      <c r="F46" s="24" t="inlineStr">
        <is>
          <t>2026-06-02</t>
        </is>
      </c>
      <c r="G46" s="24" t="inlineStr">
        <is>
          <t>Publish Mon Aug 24, 2026 (7:00 AM PHT); request indexing in GSC after publish.</t>
        </is>
      </c>
      <c r="H46" s="24" t="inlineStr">
        <is>
          <t>Primary target: national heroes day weekend lipa 2026. Drafted in 050826/; blogger guide embedded.</t>
        </is>
      </c>
    </row>
    <row r="47">
      <c r="A47" s="48" t="inlineStr">
        <is>
          <t>https://haveninlipa.com/properties/mickey-in-lipa--family-house--sleeps-11</t>
        </is>
      </c>
      <c r="B47" t="inlineStr">
        <is>
          <t>Property page (Mickey)</t>
        </is>
      </c>
      <c r="C47" t="inlineStr">
        <is>
          <t>Cluster 6 / Cluster 1 — Mickey sleeps 11</t>
        </is>
      </c>
      <c r="D47" s="82" t="inlineStr">
        <is>
          <t>Indexed</t>
        </is>
      </c>
      <c r="E47" t="inlineStr">
        <is>
          <t>2026-06-25</t>
        </is>
      </c>
      <c r="F47" t="inlineStr">
        <is>
          <t>2026-07-04</t>
        </is>
      </c>
      <c r="G47" t="inlineStr">
        <is>
          <t>Indexed ✓ (GSC 2026-06-25) — monitor.</t>
        </is>
      </c>
      <c r="H47" t="inlineStr">
        <is>
          <t>Mickey sleeps up to 11 (rate covers 9). ₱4,200/night, real photos. Live 2026-06-18. | Confirmed indexed (GSC crawl 2026-06-25); verified 2026-07-04.</t>
        </is>
      </c>
    </row>
    <row r="48">
      <c r="A48" s="48" t="inlineStr">
        <is>
          <t>https://haveninlipa.com/properties/mickey-in-lipa--full-family-house--sleeps-15</t>
        </is>
      </c>
      <c r="B48" t="inlineStr">
        <is>
          <t>Property page (Mickey)</t>
        </is>
      </c>
      <c r="C48" t="inlineStr">
        <is>
          <t>Cluster 6 / Cluster 1 — Mickey sleeps 15</t>
        </is>
      </c>
      <c r="D48" s="82" t="inlineStr">
        <is>
          <t>Indexed</t>
        </is>
      </c>
      <c r="E48" t="inlineStr">
        <is>
          <t>2026-06-26</t>
        </is>
      </c>
      <c r="F48" t="inlineStr">
        <is>
          <t>2026-07-04</t>
        </is>
      </c>
      <c r="G48" t="inlineStr">
        <is>
          <t>Indexed ✓ (GSC 2026-06-26) — monitor.</t>
        </is>
      </c>
      <c r="H48" t="inlineStr">
        <is>
          <t>Mickey sleeps up to 15 (rate covers 13). ₱7,000/night, real photos. Live 2026-06-18. | Confirmed indexed (GSC crawl 2026-06-26); verified 2026-07-04.</t>
        </is>
      </c>
    </row>
    <row r="49" ht="30" customHeight="1" s="104">
      <c r="A49" s="83" t="inlineStr">
        <is>
          <t>https://haveninlipa.com/properties/mickey-in-lipa--full-family-house--sleeps-15/book</t>
        </is>
      </c>
      <c r="B49" s="83" t="inlineStr">
        <is>
          <t>Booking form (Mickey sleeps-15)</t>
        </is>
      </c>
      <c r="C49" s="83" t="inlineStr">
        <is>
          <t>Cluster 1/6 transactional (booking endpoint)</t>
        </is>
      </c>
      <c r="D49" s="82" t="inlineStr">
        <is>
          <t>noindex – pending drop</t>
        </is>
      </c>
      <c r="E49" s="83" t="inlineStr">
        <is>
          <t>2026-06-23</t>
        </is>
      </c>
      <c r="F49" s="83" t="inlineStr">
        <is>
          <t>2026-07-04</t>
        </is>
      </c>
      <c r="G49" s="83" t="inlineStr">
        <is>
          <t>noindex applied — GSC recrawl requested; monitor Coverage for drop.</t>
        </is>
      </c>
      <c r="H49" s="83" t="inlineStr">
        <is>
          <t>FIXED 2026-07-04: dev shipped noindex,follow + self-referential canonical + unique title (was homepage canonical/title). Verified raw HTML. GSC recrawl requested to force drop.</t>
        </is>
      </c>
    </row>
    <row r="50" ht="30" customHeight="1" s="104">
      <c r="A50" s="84" t="inlineStr">
        <is>
          <t>https://haveninlipa.com/properties/mickey-in-lipa--family-staycation--sleeps-7/book</t>
        </is>
      </c>
      <c r="B50" s="84" t="inlineStr">
        <is>
          <t>Booking form (Mickey sleeps-7)</t>
        </is>
      </c>
      <c r="C50" s="84" t="inlineStr">
        <is>
          <t>Cluster 1/6 transactional (booking endpoint)</t>
        </is>
      </c>
      <c r="D50" s="82" t="inlineStr">
        <is>
          <t>noindex – pending drop</t>
        </is>
      </c>
      <c r="E50" s="84" t="inlineStr">
        <is>
          <t>2026-06-15</t>
        </is>
      </c>
      <c r="F50" s="84" t="inlineStr">
        <is>
          <t>2026-07-04</t>
        </is>
      </c>
      <c r="G50" s="84" t="inlineStr">
        <is>
          <t>noindex applied — GSC recrawl requested; monitor Coverage for drop.</t>
        </is>
      </c>
      <c r="H50" s="84" t="inlineStr">
        <is>
          <t>FIXED 2026-07-04: dev shipped noindex,follow + self-referential canonical + unique title (was homepage canonical/title). Verified raw HTML. GSC recrawl requested to force drop.</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39" r:id="rId6"/>
    <hyperlink xmlns:r="http://schemas.openxmlformats.org/officeDocument/2006/relationships" ref="A47" r:id="rId7"/>
    <hyperlink xmlns:r="http://schemas.openxmlformats.org/officeDocument/2006/relationships" ref="A48"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B46"/>
  <sheetViews>
    <sheetView showGridLines="0" topLeftCell="A18" zoomScale="140" zoomScaleNormal="140" workbookViewId="0">
      <selection activeCell="A1" sqref="A1"/>
    </sheetView>
  </sheetViews>
  <sheetFormatPr baseColWidth="10" defaultColWidth="8.83203125" defaultRowHeight="15"/>
  <cols>
    <col width="4" customWidth="1" style="104" min="1" max="1"/>
    <col width="120" customWidth="1" style="104" min="2" max="2"/>
  </cols>
  <sheetData>
    <row r="2" ht="28" customHeight="1" s="104">
      <c r="B2" s="13" t="inlineStr">
        <is>
          <t>Google Search Console - Setup &amp; Weekly Workflow</t>
        </is>
      </c>
    </row>
    <row r="3">
      <c r="B3" s="2" t="inlineStr">
        <is>
          <t>Do steps A-B once. Steps C-G run on a recurring weekly/monthly cadence.</t>
        </is>
      </c>
    </row>
    <row r="5" ht="22" customHeight="1" s="104">
      <c r="B5" s="4" t="inlineStr">
        <is>
          <t>A. Verify HavenInLipa.com is added to Google Search Console</t>
        </is>
      </c>
    </row>
    <row r="6" ht="28" customHeight="1" s="104">
      <c r="B6" s="14" t="inlineStr">
        <is>
          <t>1. Go to https://search.google.com/search-console</t>
        </is>
      </c>
    </row>
    <row r="7" ht="28" customHeight="1" s="104">
      <c r="B7" s="14" t="inlineStr">
        <is>
          <t>2. Sign in with the Google account that owns/manages HavenInLipa.com.</t>
        </is>
      </c>
    </row>
    <row r="8" ht="28" customHeight="1" s="104">
      <c r="B8" s="14" t="inlineStr">
        <is>
          <t>3. Top-left -&gt; property dropdown -&gt; Add Property -&gt; URL prefix -&gt; enter https://haveninlipa.com</t>
        </is>
      </c>
    </row>
    <row r="9" ht="28" customHeight="1" s="104">
      <c r="B9" s="14" t="inlineStr">
        <is>
          <t>4. Verify ownership: easiest is DNS TXT record (via your domain registrar) or HTML tag (paste into &lt;head&gt; of homepage).</t>
        </is>
      </c>
    </row>
    <row r="10" ht="28" customHeight="1" s="104">
      <c r="B10" s="14" t="inlineStr">
        <is>
          <t>5. Once verified, also add the www. version if applicable, and select the preferred domain.</t>
        </is>
      </c>
    </row>
    <row r="12" ht="22" customHeight="1" s="104">
      <c r="B12" s="4" t="inlineStr">
        <is>
          <t>B. Submit your sitemap</t>
        </is>
      </c>
    </row>
    <row r="13" ht="28" customHeight="1" s="104">
      <c r="B13" s="14" t="inlineStr">
        <is>
          <t>1. In GSC left sidebar -&gt; Sitemaps.</t>
        </is>
      </c>
    </row>
    <row r="14" ht="28" customHeight="1" s="104">
      <c r="B14" s="14" t="inlineStr">
        <is>
          <t>2. Enter: sitemap.xml (or /wp-sitemap.xml if WordPress) -&gt; Submit.</t>
        </is>
      </c>
    </row>
    <row r="15" ht="28" customHeight="1" s="104">
      <c r="B15" s="14" t="inlineStr">
        <is>
          <t>3. Confirm 'Success' status appears within 24-48 hours.</t>
        </is>
      </c>
    </row>
    <row r="16" ht="28" customHeight="1" s="104">
      <c r="B16" s="14" t="inlineStr">
        <is>
          <t>4. If status is 'Couldn't fetch', publish a sitemap first (Yoast/RankMath generates one automatically in WordPress).</t>
        </is>
      </c>
    </row>
    <row r="18" ht="22" customHeight="1" s="104">
      <c r="B18" s="4" t="inlineStr">
        <is>
          <t>C. Track these keywords in the Performance report</t>
        </is>
      </c>
    </row>
    <row r="19" ht="28" customHeight="1" s="104">
      <c r="B19" s="14" t="inlineStr">
        <is>
          <t>1. Left sidebar -&gt; Performance -&gt; Search results.</t>
        </is>
      </c>
    </row>
    <row r="20" ht="28" customHeight="1" s="104">
      <c r="B20" s="14" t="inlineStr">
        <is>
          <t>2. Date range: set to 'Last 28 days'.</t>
        </is>
      </c>
    </row>
    <row r="21" ht="28" customHeight="1" s="104">
      <c r="B21" s="14" t="inlineStr">
        <is>
          <t>3. Click '+ New' filter -&gt; 'Query' -&gt; 'Queries containing' -&gt; paste a keyword from the Keyword Master sheet (e.g., 'family staycation lipa').</t>
        </is>
      </c>
    </row>
    <row r="22" ht="28" customHeight="1" s="104">
      <c r="B22" s="14" t="inlineStr">
        <is>
          <t>4. Review Clicks, Impressions, CTR, and Average Position for that query.</t>
        </is>
      </c>
    </row>
    <row r="23" ht="28" customHeight="1" s="104">
      <c r="B23" s="14" t="inlineStr">
        <is>
          <t>5. Copy those four numbers into the matching row in the Keyword Master sheet (columns H, I, J, K).</t>
        </is>
      </c>
    </row>
    <row r="24" ht="28" customHeight="1" s="104">
      <c r="B24" s="14" t="inlineStr">
        <is>
          <t>6. Repeat for each HIGH-priority keyword every Monday. Medium-priority: every 2 weeks. Low: monthly.</t>
        </is>
      </c>
    </row>
    <row r="26" ht="22" customHeight="1" s="104">
      <c r="B26" s="4" t="inlineStr">
        <is>
          <t>D. Request indexing for new articles (Articles #13, #14, #10)</t>
        </is>
      </c>
    </row>
    <row r="27" ht="28" customHeight="1" s="104">
      <c r="B27" s="14" t="inlineStr">
        <is>
          <t>1. Top of GSC -&gt; URL Inspection bar -&gt; paste the full article URL.</t>
        </is>
      </c>
    </row>
    <row r="28" ht="28" customHeight="1" s="104">
      <c r="B28" s="14" t="inlineStr">
        <is>
          <t>2. If 'URL is not on Google' shows -&gt; click 'Request Indexing'.</t>
        </is>
      </c>
    </row>
    <row r="29" ht="28" customHeight="1" s="104">
      <c r="B29" s="14" t="inlineStr">
        <is>
          <t>3. Wait 1-3 days. Re-check the same URL to confirm 'URL is on Google'.</t>
        </is>
      </c>
    </row>
    <row r="30" ht="28" customHeight="1" s="104">
      <c r="B30" s="14" t="inlineStr">
        <is>
          <t>4. Do this once per new article. Do NOT spam Request Indexing for the same URL repeatedly.</t>
        </is>
      </c>
    </row>
    <row r="32" ht="22" customHeight="1" s="104">
      <c r="B32" s="4" t="inlineStr">
        <is>
          <t>E. Save a Queries view for fast weekly review</t>
        </is>
      </c>
    </row>
    <row r="33" ht="28" customHeight="1" s="104">
      <c r="B33" s="14" t="inlineStr">
        <is>
          <t>1. Performance -&gt; Search results -&gt; Apply your common filters (Country = Philippines, Device = Mobile, Date = 28 days).</t>
        </is>
      </c>
    </row>
    <row r="34" ht="28" customHeight="1" s="104">
      <c r="B34" s="14" t="inlineStr">
        <is>
          <t>2. Bookmark the resulting URL in your browser. Open it every Monday.</t>
        </is>
      </c>
    </row>
    <row r="35" ht="28" customHeight="1" s="104">
      <c r="B35" s="14" t="inlineStr">
        <is>
          <t>3. Export -&gt; Excel -&gt; opens a .xlsx with current query data. Use this to bulk-update the Keyword Master sheet.</t>
        </is>
      </c>
    </row>
    <row r="37" ht="22" customHeight="1" s="104">
      <c r="B37" s="4" t="inlineStr">
        <is>
          <t>F. Watch for these red flags weekly</t>
        </is>
      </c>
    </row>
    <row r="38" ht="28" customHeight="1" s="104">
      <c r="B38" s="14" t="inlineStr">
        <is>
          <t>1. Average Position jumped backward by 5+ positions -&gt; investigate the page (broken link, missing image, slow load).</t>
        </is>
      </c>
    </row>
    <row r="39" ht="28" customHeight="1" s="104">
      <c r="B39" s="14" t="inlineStr">
        <is>
          <t>2. Impressions dropped 40%+ week-over-week -&gt; check Coverage report for indexing errors.</t>
        </is>
      </c>
    </row>
    <row r="40" ht="28" customHeight="1" s="104">
      <c r="B40" s="14" t="inlineStr">
        <is>
          <t>3. CTR is below 1% for a page ranking in top 10 -&gt; rewrite the meta title and description.</t>
        </is>
      </c>
    </row>
    <row r="41" ht="28" customHeight="1" s="104">
      <c r="B41" s="14" t="inlineStr">
        <is>
          <t>4. A keyword has impressions but 0 clicks for 4+ weeks -&gt; rewrite the meta title; the SERP snippet is failing.</t>
        </is>
      </c>
    </row>
    <row r="43" ht="22" customHeight="1" s="104">
      <c r="B43" s="4" t="inlineStr">
        <is>
          <t>G. Monthly: export and archive</t>
        </is>
      </c>
    </row>
    <row r="44" ht="28" customHeight="1" s="104">
      <c r="B44" s="14" t="inlineStr">
        <is>
          <t>1. End of each month, Performance -&gt; Export -&gt; Excel.</t>
        </is>
      </c>
    </row>
    <row r="45" ht="28" customHeight="1" s="104">
      <c r="B45" s="14" t="inlineStr">
        <is>
          <t>2. Paste the snapshot into the 'Tracking Log Template' sheet as a new tab named 'YYYY-MM'.</t>
        </is>
      </c>
    </row>
    <row r="46" ht="28" customHeight="1" s="104">
      <c r="B46" s="14" t="inlineStr">
        <is>
          <t>3. This builds your historical trend file. After 3 months you can see real movement.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B75"/>
  <sheetViews>
    <sheetView showGridLines="0" workbookViewId="0">
      <selection activeCell="A1" sqref="A1"/>
    </sheetView>
  </sheetViews>
  <sheetFormatPr baseColWidth="10" defaultColWidth="8.83203125" defaultRowHeight="15"/>
  <cols>
    <col width="4" customWidth="1" style="104" min="1" max="1"/>
    <col width="125" customWidth="1" style="104" min="2" max="2"/>
  </cols>
  <sheetData>
    <row r="2" ht="28" customHeight="1" s="104">
      <c r="B2" s="17" t="inlineStr">
        <is>
          <t>GSC Troubleshooting - When Keywords Show No Data</t>
        </is>
      </c>
    </row>
    <row r="3">
      <c r="B3" s="18" t="inlineStr">
        <is>
          <t>Use this sheet whenever a keyword in Keyword Master is not showing data in Search Console.</t>
        </is>
      </c>
    </row>
    <row r="5" ht="22" customHeight="1" s="104">
      <c r="B5" s="19" t="inlineStr">
        <is>
          <t>Quick context (read first)</t>
        </is>
      </c>
    </row>
    <row r="6" ht="30" customHeight="1" s="104">
      <c r="B6" s="20" t="inlineStr">
        <is>
          <t>Google Search Console is PASSIVE reporting, not active keyword tracking. Searching for a keyword inside GSC does NOT 'add' or 'save' it.</t>
        </is>
      </c>
    </row>
    <row r="7" ht="30" customHeight="1" s="104">
      <c r="B7" s="20" t="inlineStr">
        <is>
          <t>GSC only shows queries where (a) someone actually searched on Google, (b) your site appeared in the results, and (c) at least one impression was recorded during your selected date range.</t>
        </is>
      </c>
    </row>
    <row r="8" ht="30" customHeight="1" s="104">
      <c r="B8" s="20" t="inlineStr">
        <is>
          <t>If a keyword shows no data, it usually means the page is not indexed yet, the page is not ranking in the top ~100, the content is too new, or the keyword has very low monthly search volume in the Philippines.</t>
        </is>
      </c>
    </row>
    <row r="10" ht="22" customHeight="1" s="104">
      <c r="B10" s="19" t="inlineStr">
        <is>
          <t>Decision tree - if a keyword shows zero data in GSC</t>
        </is>
      </c>
    </row>
    <row r="11" ht="30" customHeight="1" s="104">
      <c r="B11" s="20" t="inlineStr">
        <is>
          <t>STEP 1: Check if the page exists and is reachable.</t>
        </is>
      </c>
    </row>
    <row r="12" ht="30" customHeight="1" s="104">
      <c r="B12" s="20" t="inlineStr">
        <is>
          <t xml:space="preserve">  - Paste the target URL into a browser. Does it load? If 404 -&gt; the page must be published first.</t>
        </is>
      </c>
    </row>
    <row r="13" ht="30" customHeight="1" s="104">
      <c r="B13" s="20" t="inlineStr">
        <is>
          <t>STEP 2: Check if the page is indexed.</t>
        </is>
      </c>
    </row>
    <row r="14" ht="30" customHeight="1" s="104">
      <c r="B14" s="20" t="inlineStr">
        <is>
          <t xml:space="preserve">  - GSC -&gt; URL Inspection bar (top) -&gt; paste the full URL.</t>
        </is>
      </c>
    </row>
    <row r="15" ht="30" customHeight="1" s="104">
      <c r="B15" s="20" t="inlineStr">
        <is>
          <t xml:space="preserve">  - 'URL is on Google' = indexed. Proceed to Step 3.</t>
        </is>
      </c>
    </row>
    <row r="16" ht="30" customHeight="1" s="104">
      <c r="B16" s="20" t="inlineStr">
        <is>
          <t xml:space="preserve">  - 'URL is not on Google' = not indexed. Click 'Request Indexing'. Wait 1-7 days. Recheck. No further action needed.</t>
        </is>
      </c>
    </row>
    <row r="17" ht="30" customHeight="1" s="104">
      <c r="B17" s="20" t="inlineStr">
        <is>
          <t xml:space="preserve">  - 'Crawled - currently not indexed' = Google chose NOT to index it. Content needs improvement: more depth, original angles, internal links, better title/meta. Re-request after edits.</t>
        </is>
      </c>
    </row>
    <row r="18" ht="30" customHeight="1" s="104">
      <c r="B18" s="20" t="inlineStr">
        <is>
          <t xml:space="preserve">  - 'Discovered - currently not indexed' = Google knows about it but hasn't crawled yet. Patience. Internal links from indexed pages speed this up.</t>
        </is>
      </c>
    </row>
    <row r="19" ht="30" customHeight="1" s="104">
      <c r="B19" s="20" t="inlineStr">
        <is>
          <t>STEP 3: If indexed, widen the date range.</t>
        </is>
      </c>
    </row>
    <row r="20" ht="30" customHeight="1" s="104">
      <c r="B20" s="20" t="inlineStr">
        <is>
          <t xml:space="preserve">  - Performance -&gt; Search results -&gt; Date -&gt; 'Last 6 months' (or 'Last 12 months' for older sites).</t>
        </is>
      </c>
    </row>
    <row r="21" ht="30" customHeight="1" s="104">
      <c r="B21" s="20" t="inlineStr">
        <is>
          <t xml:space="preserve">  - Country filter: Philippines.</t>
        </is>
      </c>
    </row>
    <row r="22" ht="30" customHeight="1" s="104">
      <c r="B22" s="20" t="inlineStr">
        <is>
          <t xml:space="preserve">  - Re-check for the keyword. New articles often show no data in the 28-day default view.</t>
        </is>
      </c>
    </row>
    <row r="23" ht="30" customHeight="1" s="104">
      <c r="B23" s="20" t="inlineStr">
        <is>
          <t>STEP 4: Filter by PAGE instead of by query.</t>
        </is>
      </c>
    </row>
    <row r="24" ht="30" customHeight="1" s="104">
      <c r="B24" s="20" t="inlineStr">
        <is>
          <t xml:space="preserve">  - Add a 'Page' filter -&gt; paste the article's URL.</t>
        </is>
      </c>
    </row>
    <row r="25" ht="30" customHeight="1" s="104">
      <c r="B25" s="20" t="inlineStr">
        <is>
          <t xml:space="preserve">  - GSC will now show ALL queries that page is appearing for. You'll often find variations you weren't tracking (e.g., 'lipa city staycation' instead of 'staycation in lipa city').</t>
        </is>
      </c>
    </row>
    <row r="26" ht="30" customHeight="1" s="104">
      <c r="B26" s="20" t="inlineStr">
        <is>
          <t xml:space="preserve">  - Add any high-value variations as new rows in the Keyword Master sheet.</t>
        </is>
      </c>
    </row>
    <row r="27" ht="30" customHeight="1" s="104">
      <c r="B27" s="20" t="inlineStr">
        <is>
          <t>STEP 5: If still zero data after 8 weeks of being indexed...</t>
        </is>
      </c>
    </row>
    <row r="28" ht="30" customHeight="1" s="104">
      <c r="B28" s="20" t="inlineStr">
        <is>
          <t xml:space="preserve">  - The page is likely ranking beyond position 100 (GSC stops tracking at ~position 100).</t>
        </is>
      </c>
    </row>
    <row r="29" ht="30" customHeight="1" s="104">
      <c r="B29" s="20" t="inlineStr">
        <is>
          <t xml:space="preserve">  - Action: improve the page (more relevant content, faster load, more internal links, better title/meta) OR retire the keyword if it has no realistic shot.</t>
        </is>
      </c>
    </row>
    <row r="30" ht="30" customHeight="1" s="104">
      <c r="B30" s="20" t="inlineStr">
        <is>
          <t>STEP 6: Sanity-check the keyword has real PH search volume.</t>
        </is>
      </c>
    </row>
    <row r="31" ht="30" customHeight="1" s="104">
      <c r="B31" s="20" t="inlineStr">
        <is>
          <t xml:space="preserve">  - Open Google Trends -&gt; filter to Philippines -&gt; last 12 months. If the keyword shows a flat line, the keyword itself has near-zero searches. Replace with a higher-volume variation.</t>
        </is>
      </c>
    </row>
    <row r="33" ht="22" customHeight="1" s="104">
      <c r="B33" s="19" t="inlineStr">
        <is>
          <t>How to mark each keyword in the Indexing Status column</t>
        </is>
      </c>
    </row>
    <row r="34" ht="30" customHeight="1" s="104">
      <c r="B34" s="20" t="inlineStr">
        <is>
          <t>Use one of these exact values so the column stays filterable:</t>
        </is>
      </c>
    </row>
    <row r="35" ht="30" customHeight="1" s="104">
      <c r="B35" s="20" t="inlineStr">
        <is>
          <t xml:space="preserve">  - 'Indexed'                    = URL inspection says 'URL is on Google'.</t>
        </is>
      </c>
    </row>
    <row r="36" ht="30" customHeight="1" s="104">
      <c r="B36" s="20" t="inlineStr">
        <is>
          <t xml:space="preserve">  - 'Not Indexed - Requested'    = You clicked Request Indexing; waiting on Google.</t>
        </is>
      </c>
    </row>
    <row r="37" ht="30" customHeight="1" s="104">
      <c r="B37" s="20" t="inlineStr">
        <is>
          <t xml:space="preserve">  - 'Not Indexed'                = Page is not on Google and you have not yet requested indexing.</t>
        </is>
      </c>
    </row>
    <row r="38" ht="30" customHeight="1" s="104">
      <c r="B38" s="20" t="inlineStr">
        <is>
          <t xml:space="preserve">  - 'Crawled Not Indexed'        = Google saw it and declined. Needs content improvement.</t>
        </is>
      </c>
    </row>
    <row r="39" ht="30" customHeight="1" s="104">
      <c r="B39" s="20" t="inlineStr">
        <is>
          <t xml:space="preserve">  - 'Discovered Not Indexed'     = Google knows but hasn't crawled. Add internal links.</t>
        </is>
      </c>
    </row>
    <row r="40" ht="30" customHeight="1" s="104">
      <c r="B40" s="20" t="inlineStr">
        <is>
          <t xml:space="preserve">  - 'Page Not Published'         = No live URL exists yet (e.g., gap/draft keywords).</t>
        </is>
      </c>
    </row>
    <row r="41" ht="30" customHeight="1" s="104">
      <c r="B41" s="20" t="inlineStr">
        <is>
          <t xml:space="preserve">  - 'N/A - Brand Term'           = Homepage / brand-only keywords; track separately.</t>
        </is>
      </c>
    </row>
    <row r="43" ht="22" customHeight="1" s="104">
      <c r="B43" s="19" t="inlineStr">
        <is>
          <t>Recommended weekly + monthly cadence</t>
        </is>
      </c>
    </row>
    <row r="44" ht="30" customHeight="1" s="104">
      <c r="B44" s="20" t="inlineStr">
        <is>
          <t>Weekly (Mondays, 15-20 min):</t>
        </is>
      </c>
    </row>
    <row r="45" ht="30" customHeight="1" s="104">
      <c r="B45" s="20" t="inlineStr">
        <is>
          <t xml:space="preserve">  1. Performance -&gt; Search results -&gt; Last 28 days -&gt; Country: Philippines.</t>
        </is>
      </c>
    </row>
    <row r="46" ht="30" customHeight="1" s="104">
      <c r="B46" s="20" t="inlineStr">
        <is>
          <t xml:space="preserve">  2. Sort Queries by Impressions desc -&gt; export to Excel.</t>
        </is>
      </c>
    </row>
    <row r="47" ht="30" customHeight="1" s="104">
      <c r="B47" s="20" t="inlineStr">
        <is>
          <t xml:space="preserve">  3. For HIGH-priority keywords: update Clicks / Impressions / CTR / Avg Position in the Keyword Master sheet.</t>
        </is>
      </c>
    </row>
    <row r="48" ht="30" customHeight="1" s="104">
      <c r="B48" s="20" t="inlineStr">
        <is>
          <t xml:space="preserve">  4. Update Last Reviewed.</t>
        </is>
      </c>
    </row>
    <row r="49" ht="30" customHeight="1" s="104">
      <c r="B49" s="20" t="inlineStr">
        <is>
          <t>Monthly (1st of the month, 30-45 min):</t>
        </is>
      </c>
    </row>
    <row r="50" ht="30" customHeight="1" s="104">
      <c r="B50" s="20" t="inlineStr">
        <is>
          <t xml:space="preserve">  1. Performance -&gt; Search results -&gt; Last 6 months -&gt; Export.</t>
        </is>
      </c>
    </row>
    <row r="51" ht="30" customHeight="1" s="104">
      <c r="B51" s="20" t="inlineStr">
        <is>
          <t xml:space="preserve">  2. URL-Inspect any new articles published in the last month -&gt; update Indexing Status column.</t>
        </is>
      </c>
    </row>
    <row r="52" ht="30" customHeight="1" s="104">
      <c r="B52" s="20" t="inlineStr">
        <is>
          <t xml:space="preserve">  3. Copy the current Keyword Master snapshot into Tracking Log Template as a tab named 'YYYY-MM'.</t>
        </is>
      </c>
    </row>
    <row r="53" ht="30" customHeight="1" s="104">
      <c r="B53" s="20" t="inlineStr">
        <is>
          <t xml:space="preserve">  4. Promote climbing keywords to Priority Focus, retire stagnant ones.</t>
        </is>
      </c>
    </row>
    <row r="54" ht="30" customHeight="1" s="104">
      <c r="B54" s="20" t="inlineStr">
        <is>
          <t>Quarterly:</t>
        </is>
      </c>
    </row>
    <row r="55" ht="30" customHeight="1" s="104">
      <c r="B55" s="20" t="inlineStr">
        <is>
          <t xml:space="preserve">  1. Compare Tracking Log tabs across the last 3 months.</t>
        </is>
      </c>
    </row>
    <row r="56" ht="30" customHeight="1" s="104">
      <c r="B56" s="20" t="inlineStr">
        <is>
          <t xml:space="preserve">  2. Identify the top 3 climbing pages -&gt; double-down with internal links from other pages.</t>
        </is>
      </c>
    </row>
    <row r="57" ht="30" customHeight="1" s="104">
      <c r="B57" s="20" t="inlineStr">
        <is>
          <t xml:space="preserve">  3. Identify the bottom 3 declining pages -&gt; diagnose and either refresh or deprecate.</t>
        </is>
      </c>
    </row>
    <row r="59" ht="22" customHeight="1" s="104">
      <c r="B59" s="19" t="inlineStr">
        <is>
          <t>Common confusions, cleared up</t>
        </is>
      </c>
    </row>
    <row r="60" ht="30" customHeight="1" s="104">
      <c r="B60" s="20" t="inlineStr">
        <is>
          <t>Q: 'I searched a keyword in GSC. Is it now being tracked?'</t>
        </is>
      </c>
    </row>
    <row r="61" ht="30" customHeight="1" s="104">
      <c r="B61" s="20" t="inlineStr">
        <is>
          <t>A: No. GSC has nothing to add or save. It only reports what Google already observed.</t>
        </is>
      </c>
    </row>
    <row r="62" ht="30" customHeight="1" s="104">
      <c r="B62" s="20" t="inlineStr">
        <is>
          <t>Q: 'Should I keep checking the same dead keyword every week?'</t>
        </is>
      </c>
    </row>
    <row r="63" ht="30" customHeight="1" s="104">
      <c r="B63" s="20" t="inlineStr">
        <is>
          <t>A: No. If a keyword has zero data after 8 weeks and the target page is indexed, move it to monthly checks. Use the time on keywords that are climbing.</t>
        </is>
      </c>
    </row>
    <row r="64" ht="30" customHeight="1" s="104">
      <c r="B64" s="20" t="inlineStr">
        <is>
          <t>Q: 'Can I add a keyword I want to rank for but don't yet?'</t>
        </is>
      </c>
    </row>
    <row r="65" ht="30" customHeight="1" s="104">
      <c r="B65" s="20" t="inlineStr">
        <is>
          <t>A: Yes - in the Keyword Master sheet, not in GSC. GSC will report on it automatically once impressions start. To actively track keywords you don't yet rank for, use Ahrefs Webmaster Tools (free), SE Ranking, or SEMrush.</t>
        </is>
      </c>
    </row>
    <row r="66" ht="30" customHeight="1" s="104">
      <c r="B66" s="20" t="inlineStr">
        <is>
          <t>Q: 'Some queries show as (other) or get hidden. Why?'</t>
        </is>
      </c>
    </row>
    <row r="67" ht="30" customHeight="1" s="104">
      <c r="B67" s="20" t="inlineStr">
        <is>
          <t>A: Google anonymizes very low-volume queries for privacy. The impressions still count in totals but the exact query is hidden. Nothing you can do about it.</t>
        </is>
      </c>
    </row>
    <row r="68" ht="30" customHeight="1" s="104">
      <c r="B68" s="20" t="inlineStr">
        <is>
          <t>Q: 'My homepage gets impressions for the brand term but is ranked #5. Is that bad?'</t>
        </is>
      </c>
    </row>
    <row r="69" ht="30" customHeight="1" s="104">
      <c r="B69" s="20" t="inlineStr">
        <is>
          <t>A: Yes - your own brand SERP should be #1. Usually means thin homepage content, weak title tag, or a third-party (Airbnb/Booking) ranking above you. Fix the homepage title and add structured data.</t>
        </is>
      </c>
    </row>
    <row r="71" ht="22" customHeight="1" s="104">
      <c r="B71" s="19" t="inlineStr">
        <is>
          <t>Free tools to pair with GSC (recommended order)</t>
        </is>
      </c>
    </row>
    <row r="72" ht="30" customHeight="1" s="104">
      <c r="B72" s="20" t="inlineStr">
        <is>
          <t>1. Google Trends (https://trends.google.com) - free - validates if a PH keyword has real search interest.</t>
        </is>
      </c>
    </row>
    <row r="73" ht="30" customHeight="1" s="104">
      <c r="B73" s="20" t="inlineStr">
        <is>
          <t>2. Ahrefs Webmaster Tools (https://ahrefs.com/webmaster-tools) - free for verified domain - shows keywords you rank for + estimated search volumes + backlinks.</t>
        </is>
      </c>
    </row>
    <row r="74" ht="30" customHeight="1" s="104">
      <c r="B74" s="20" t="inlineStr">
        <is>
          <t>3. Google Keyword Planner (inside Google Ads, no spend required) - free - shows monthly search volumes for PH.</t>
        </is>
      </c>
    </row>
    <row r="75" ht="30" customHeight="1" s="104">
      <c r="B75" s="20" t="inlineStr">
        <is>
          <t>4. PageSpeed Insights - free - flags page speed issues that hurt rankings.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B61"/>
  <sheetViews>
    <sheetView showGridLines="0" workbookViewId="0">
      <selection activeCell="A1" sqref="A1"/>
    </sheetView>
  </sheetViews>
  <sheetFormatPr baseColWidth="10" defaultColWidth="8.83203125" defaultRowHeight="15"/>
  <cols>
    <col width="4" customWidth="1" style="104" min="1" max="1"/>
    <col width="120" customWidth="1" style="104" min="2" max="2"/>
  </cols>
  <sheetData>
    <row r="2" ht="28" customHeight="1" s="104">
      <c r="B2" s="13" t="inlineStr">
        <is>
          <t>Blogger Brief - How to Use This Keyword List</t>
        </is>
      </c>
    </row>
    <row r="3">
      <c r="B3" s="2" t="inlineStr">
        <is>
          <t>Read top-to-bottom before writing your first HavenInLipa article. Refer back every time.</t>
        </is>
      </c>
    </row>
    <row r="5" ht="22" customHeight="1" s="104">
      <c r="B5" s="4" t="inlineStr">
        <is>
          <t>How to read this workbook before writing</t>
        </is>
      </c>
    </row>
    <row r="6" ht="28" customHeight="1" s="104">
      <c r="B6" s="14" t="inlineStr">
        <is>
          <t>1. Open the 'Keyword Master' sheet. Find the row(s) for the article you are about to write.</t>
        </is>
      </c>
    </row>
    <row r="7" ht="28" customHeight="1" s="104">
      <c r="B7" s="14" t="inlineStr">
        <is>
          <t>2. Note the PRIMARY keyword (the keyword the article is titled around) and 2-4 SUPPORTING keywords from the same cluster.</t>
        </is>
      </c>
    </row>
    <row r="8" ht="28" customHeight="1" s="104">
      <c r="B8" s="14" t="inlineStr">
        <is>
          <t>3. Note the SEARCH INTENT - this tells you what the reader expects to do/learn. Match the article's promise to that intent.</t>
        </is>
      </c>
    </row>
    <row r="9" ht="28" customHeight="1" s="104">
      <c r="B9" s="14" t="inlineStr">
        <is>
          <t>4. Note the TARGET URL - this is the slug to publish under. Do not change it without checking with the SEO lead.</t>
        </is>
      </c>
    </row>
    <row r="11" ht="22" customHeight="1" s="104">
      <c r="B11" s="4" t="inlineStr">
        <is>
          <t>Where each keyword goes in the article (use this checklist)</t>
        </is>
      </c>
    </row>
    <row r="12" ht="28" customHeight="1" s="104">
      <c r="B12" s="14" t="inlineStr">
        <is>
          <t>PRIMARY KEYWORD:</t>
        </is>
      </c>
    </row>
    <row r="13" ht="28" customHeight="1" s="104">
      <c r="B13" s="14" t="inlineStr">
        <is>
          <t xml:space="preserve">  - In the H1 title (naturally - never forced).</t>
        </is>
      </c>
    </row>
    <row r="14" ht="28" customHeight="1" s="104">
      <c r="B14" s="14" t="inlineStr">
        <is>
          <t xml:space="preserve">  - In the first 100 words of the intro.</t>
        </is>
      </c>
    </row>
    <row r="15" ht="28" customHeight="1" s="104">
      <c r="B15" s="14" t="inlineStr">
        <is>
          <t xml:space="preserve">  - In the meta description (1 time, naturally).</t>
        </is>
      </c>
    </row>
    <row r="16" ht="28" customHeight="1" s="104">
      <c r="B16" s="14" t="inlineStr">
        <is>
          <t xml:space="preserve">  - In the URL slug.</t>
        </is>
      </c>
    </row>
    <row r="17" ht="28" customHeight="1" s="104">
      <c r="B17" s="14" t="inlineStr">
        <is>
          <t xml:space="preserve">  - In the featured image alt text.</t>
        </is>
      </c>
    </row>
    <row r="18" ht="28" customHeight="1" s="104">
      <c r="B18" s="14" t="inlineStr">
        <is>
          <t xml:space="preserve">  - In at least one H2 heading (rephrased is fine).</t>
        </is>
      </c>
    </row>
    <row r="19" ht="28" customHeight="1" s="104">
      <c r="B19" s="14" t="inlineStr">
        <is>
          <t>SUPPORTING KEYWORDS (2-4 per article):</t>
        </is>
      </c>
    </row>
    <row r="20" ht="28" customHeight="1" s="104">
      <c r="B20" s="14" t="inlineStr">
        <is>
          <t xml:space="preserve">  - One in an H2 or H3 each, where the topic of that heading naturally calls for it.</t>
        </is>
      </c>
    </row>
    <row r="21" ht="28" customHeight="1" s="104">
      <c r="B21" s="14" t="inlineStr">
        <is>
          <t xml:space="preserve">  - At least one in image alt text across the article.</t>
        </is>
      </c>
    </row>
    <row r="22" ht="28" customHeight="1" s="104">
      <c r="B22" s="14" t="inlineStr">
        <is>
          <t xml:space="preserve">  - Spread naturally across body copy. If you have to twist a sentence, you have stuffed it - reword.</t>
        </is>
      </c>
    </row>
    <row r="24" ht="22" customHeight="1" s="104">
      <c r="B24" s="4" t="inlineStr">
        <is>
          <t>The Golden Rules (read every time)</t>
        </is>
      </c>
    </row>
    <row r="25" ht="28" customHeight="1" s="104">
      <c r="B25" s="14" t="inlineStr">
        <is>
          <t>1. WRITE FOR HUMANS FIRST. Read every paragraph aloud. If it sounds robotic, rewrite it.</t>
        </is>
      </c>
    </row>
    <row r="26" ht="28" customHeight="1" s="104">
      <c r="B26" s="14" t="inlineStr">
        <is>
          <t>2. NEVER stuff a keyword more than ~1% density (so a 1,500-word article = max ~15 mentions of the primary keyword in any form).</t>
        </is>
      </c>
    </row>
    <row r="27" ht="28" customHeight="1" s="104">
      <c r="B27" s="14" t="inlineStr">
        <is>
          <t>3. USE NATURAL VARIATIONS. 'short term rental lipa' = 'short-term rental in Lipa City' = 'Lipa City rental'. Google understands all three.</t>
        </is>
      </c>
    </row>
    <row r="28" ht="28" customHeight="1" s="104">
      <c r="B28" s="14" t="inlineStr">
        <is>
          <t>4. ONE PRIMARY KEYWORD PER ARTICLE. If you find yourself adding a second 'primary,' you actually have two articles.</t>
        </is>
      </c>
    </row>
    <row r="29" ht="28" customHeight="1" s="104">
      <c r="B29" s="14" t="inlineStr">
        <is>
          <t>5. ANSWER THE INTENT. If intent = Informational, do not pitch a booking in the first 200 words. Earn it.</t>
        </is>
      </c>
    </row>
    <row r="30" ht="28" customHeight="1" s="104">
      <c r="B30" s="14" t="inlineStr">
        <is>
          <t>6. INTERNAL LINKS. Every article must link to (a) the homepage, (b) one property page, and (c) 2 other blog articles in the same cluster.</t>
        </is>
      </c>
    </row>
    <row r="31" ht="28" customHeight="1" s="104">
      <c r="B31" s="14" t="inlineStr">
        <is>
          <t>7. ALT TEXT IS SEO. Never leave alt text blank. Never write 'photo1.jpg' style alt text.</t>
        </is>
      </c>
    </row>
    <row r="33" ht="22" customHeight="1" s="104">
      <c r="B33" s="4" t="inlineStr">
        <is>
          <t>Workflow for every article (top-to-bottom)</t>
        </is>
      </c>
    </row>
    <row r="34" ht="28" customHeight="1" s="104">
      <c r="B34" s="14" t="inlineStr">
        <is>
          <t>STEP 1 - Brief: Get the keyword row + outline from the SEO lead (already in 'content for HavenInLipa' folder).</t>
        </is>
      </c>
    </row>
    <row r="35" ht="28" customHeight="1" s="104">
      <c r="B35" s="14" t="inlineStr">
        <is>
          <t>STEP 2 - Draft Title (H1): Include the primary keyword naturally. Aim for &lt;60 characters.</t>
        </is>
      </c>
    </row>
    <row r="36" ht="28" customHeight="1" s="104">
      <c r="B36" s="14" t="inlineStr">
        <is>
          <t>STEP 3 - Meta description: 150-160 characters. Include primary keyword once. Pitch the click.</t>
        </is>
      </c>
    </row>
    <row r="37" ht="28" customHeight="1" s="104">
      <c r="B37" s="14" t="inlineStr">
        <is>
          <t>STEP 4 - URL slug: Lowercase, hyphenated, 3-5 words. Use the slug specified in the Keyword Master sheet.</t>
        </is>
      </c>
    </row>
    <row r="38" ht="28" customHeight="1" s="104">
      <c r="B38" s="14" t="inlineStr">
        <is>
          <t>STEP 5 - Intro (first paragraph): Mention primary keyword in the first 100 words. State who the article is for and what they'll get.</t>
        </is>
      </c>
    </row>
    <row r="39" ht="28" customHeight="1" s="104">
      <c r="B39" s="14" t="inlineStr">
        <is>
          <t>STEP 6 - Body: Follow the outline's H2/H3 structure. Place supporting keywords naturally.</t>
        </is>
      </c>
    </row>
    <row r="40" ht="28" customHeight="1" s="104">
      <c r="B40" s="14" t="inlineStr">
        <is>
          <t>STEP 7 - Internal links: Add 3-5 internal links per article. Anchor text should be descriptive, not 'click here'.</t>
        </is>
      </c>
    </row>
    <row r="41" ht="28" customHeight="1" s="104">
      <c r="B41" s="14" t="inlineStr">
        <is>
          <t>STEP 8 - Images: Use the image guide from the article folder. Always fill in alt text.</t>
        </is>
      </c>
    </row>
    <row r="42" ht="28" customHeight="1" s="104">
      <c r="B42" s="14" t="inlineStr">
        <is>
          <t>STEP 9 - FAQ block: If the SERP shows a 'People Also Ask' box for your keyword, add 3-5 FAQ entries answering those questions.</t>
        </is>
      </c>
    </row>
    <row r="43" ht="28" customHeight="1" s="104">
      <c r="B43" s="14" t="inlineStr">
        <is>
          <t>STEP 10 - Self-check: Read once for tone, once for keyword density, once for typos. Then publish.</t>
        </is>
      </c>
    </row>
    <row r="44" ht="28" customHeight="1" s="104">
      <c r="B44" s="14" t="inlineStr">
        <is>
          <t>STEP 11 - After publishing: Send the live URL to the SEO lead so they can request indexing in GSC.</t>
        </is>
      </c>
    </row>
    <row r="46" ht="22" customHeight="1" s="104">
      <c r="B46" s="4" t="inlineStr">
        <is>
          <t>Common mistakes to avoid</t>
        </is>
      </c>
    </row>
    <row r="47" ht="28" customHeight="1" s="104">
      <c r="B47" s="14" t="inlineStr">
        <is>
          <t>1. Repeating the exact keyword phrase 8+ times in 1,000 words - reads as spam to Google AND to readers.</t>
        </is>
      </c>
    </row>
    <row r="48" ht="28" customHeight="1" s="104">
      <c r="B48" s="14" t="inlineStr">
        <is>
          <t>2. Writing a title that crams 2-3 keywords ('Family Staycation Lipa - Weekend Getaway with Kids - Romantic Couple Trip').</t>
        </is>
      </c>
    </row>
    <row r="49" ht="28" customHeight="1" s="104">
      <c r="B49" s="14" t="inlineStr">
        <is>
          <t>3. Leaving the meta description blank - Google will generate one and it usually undersells the article.</t>
        </is>
      </c>
    </row>
    <row r="50" ht="28" customHeight="1" s="104">
      <c r="B50" s="14" t="inlineStr">
        <is>
          <t>4. Using the same image alt text on every image ('Lipa City rental').</t>
        </is>
      </c>
    </row>
    <row r="51" ht="28" customHeight="1" s="104">
      <c r="B51" s="14" t="inlineStr">
        <is>
          <t>5. Adding internal links only at the bottom in a 'Related Posts' block. They should appear inside the body where the topic is mentioned.</t>
        </is>
      </c>
    </row>
    <row r="52" ht="28" customHeight="1" s="104">
      <c r="B52" s="14" t="inlineStr">
        <is>
          <t>6. Publishing without checking the URL slug. A wrong slug = a redirect = lost authority.</t>
        </is>
      </c>
    </row>
    <row r="54" ht="22" customHeight="1" s="104">
      <c r="B54" s="4" t="inlineStr">
        <is>
          <t>Quick reference: per-article keyword targets</t>
        </is>
      </c>
    </row>
    <row r="55" ht="28" customHeight="1" s="104">
      <c r="B55" s="14" t="inlineStr">
        <is>
          <t>Article #11 (Family Staycation): family staycation lipa | family-friendly rental lipa city | weekend getaway with kids near manila | kid-friendly batangas</t>
        </is>
      </c>
    </row>
    <row r="56" ht="28" customHeight="1" s="104">
      <c r="B56" s="14" t="inlineStr">
        <is>
          <t>Article #12 (Romantic Getaway): romantic getaway batangas | couple retreat lipa | honeymoon batangas | anniversary getaway near manila</t>
        </is>
      </c>
    </row>
    <row r="57" ht="28" customHeight="1" s="104">
      <c r="B57" s="14" t="inlineStr">
        <is>
          <t>Article #13 (Mickey in Lipa Launch): mickey in lipa | disney-inspired house lipa | full house rental lipa | family house rental lipa city</t>
        </is>
      </c>
    </row>
    <row r="58" ht="28" customHeight="1" s="104">
      <c r="B58" s="14" t="inlineStr">
        <is>
          <t>Article #14 (Family Weekend, No Beach): family weekend batangas | weekend near manila with family | batangas without beach crowds | lipa family itinerary</t>
        </is>
      </c>
    </row>
    <row r="59" ht="28" customHeight="1" s="104">
      <c r="B59" s="14" t="inlineStr">
        <is>
          <t>Article #6 (Book Direct): book direct vs airbnb | save on vacation rental fees | why book direct accommodation | airbnb alternative lipa</t>
        </is>
      </c>
    </row>
    <row r="60" ht="28" customHeight="1" s="104">
      <c r="B60" s="14" t="inlineStr">
        <is>
          <t>Article #1 (Things to Do): things to do in lipa city | lipa city tourist spots | lipa batangas attractions</t>
        </is>
      </c>
    </row>
    <row r="61" ht="28" customHeight="1" s="104">
      <c r="B61" s="14" t="inlineStr">
        <is>
          <t>Article #10 (How to Get There - PUBLISH): how to get to lipa from manila | lipa city travel guide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34" customWidth="1" style="104" min="1" max="1"/>
    <col width="20" customWidth="1" style="104" min="2" max="2"/>
    <col width="15" customWidth="1" style="104" min="3" max="3"/>
    <col width="14" customWidth="1" style="104" min="4" max="4"/>
    <col width="12" customWidth="1" style="104" min="5" max="5"/>
    <col width="10" customWidth="1" style="104" min="6" max="6"/>
    <col width="28" customWidth="1" style="104" min="7" max="7"/>
    <col width="36" customWidth="1" style="104" min="8" max="8"/>
  </cols>
  <sheetData>
    <row r="1" ht="36" customHeight="1" s="104">
      <c r="A1" s="11" t="inlineStr">
        <is>
          <t>Keyword</t>
        </is>
      </c>
      <c r="B1" s="11" t="inlineStr">
        <is>
          <t>Snapshot Date (YYYY-MM)</t>
        </is>
      </c>
      <c r="C1" s="11" t="inlineStr">
        <is>
          <t>Avg. Position</t>
        </is>
      </c>
      <c r="D1" s="11" t="inlineStr">
        <is>
          <t>Impressions</t>
        </is>
      </c>
      <c r="E1" s="11" t="inlineStr">
        <is>
          <t>Clicks</t>
        </is>
      </c>
      <c r="F1" s="11" t="inlineStr">
        <is>
          <t>CTR %</t>
        </is>
      </c>
      <c r="G1" s="11" t="inlineStr">
        <is>
          <t>Movement vs. last month</t>
        </is>
      </c>
      <c r="H1" s="11" t="inlineStr">
        <is>
          <t>Notes</t>
        </is>
      </c>
    </row>
    <row r="2" ht="24" customHeight="1" s="104">
      <c r="A2" s="12" t="inlineStr">
        <is>
          <t>short term rental lipa city</t>
        </is>
      </c>
      <c r="B2" s="12" t="n"/>
      <c r="C2" s="12" t="n"/>
      <c r="D2" s="12" t="n"/>
      <c r="E2" s="12" t="n"/>
      <c r="F2" s="12" t="n"/>
      <c r="G2" s="12" t="n"/>
      <c r="H2" s="12" t="n"/>
    </row>
    <row r="3" ht="24" customHeight="1" s="104">
      <c r="A3" s="9" t="inlineStr">
        <is>
          <t>vacation rental lipa batangas</t>
        </is>
      </c>
      <c r="B3" s="9" t="n"/>
      <c r="C3" s="9" t="n"/>
      <c r="D3" s="9" t="n"/>
      <c r="E3" s="9" t="n"/>
      <c r="F3" s="9" t="n"/>
      <c r="G3" s="9" t="n"/>
      <c r="H3" s="9" t="n"/>
    </row>
    <row r="4" ht="24" customHeight="1" s="104">
      <c r="A4" s="12" t="inlineStr">
        <is>
          <t>airbnb alternative lipa</t>
        </is>
      </c>
      <c r="B4" s="12" t="n"/>
      <c r="C4" s="12" t="n"/>
      <c r="D4" s="12" t="n"/>
      <c r="E4" s="12" t="n"/>
      <c r="F4" s="12" t="n"/>
      <c r="G4" s="12" t="n"/>
      <c r="H4" s="12" t="n"/>
    </row>
    <row r="5" ht="24" customHeight="1" s="104">
      <c r="A5" s="9" t="inlineStr">
        <is>
          <t>affordable staycation lipa</t>
        </is>
      </c>
      <c r="B5" s="9" t="n"/>
      <c r="C5" s="9" t="n"/>
      <c r="D5" s="9" t="n"/>
      <c r="E5" s="9" t="n"/>
      <c r="F5" s="9" t="n"/>
      <c r="G5" s="9" t="n"/>
      <c r="H5" s="9" t="n"/>
    </row>
    <row r="6" ht="24" customHeight="1" s="104">
      <c r="A6" s="12" t="inlineStr">
        <is>
          <t>direct booking lipa city</t>
        </is>
      </c>
      <c r="B6" s="12" t="n"/>
      <c r="C6" s="12" t="n"/>
      <c r="D6" s="12" t="n"/>
      <c r="E6" s="12" t="n"/>
      <c r="F6" s="12" t="n"/>
      <c r="G6" s="12" t="n"/>
      <c r="H6" s="12" t="n"/>
    </row>
    <row r="7" ht="24" customHeight="1" s="104">
      <c r="A7" s="9" t="inlineStr">
        <is>
          <t>full house rental lipa</t>
        </is>
      </c>
      <c r="B7" s="9" t="n"/>
      <c r="C7" s="9" t="n"/>
      <c r="D7" s="9" t="n"/>
      <c r="E7" s="9" t="n"/>
      <c r="F7" s="9" t="n"/>
      <c r="G7" s="9" t="n"/>
      <c r="H7" s="9" t="n"/>
    </row>
    <row r="8" ht="24" customHeight="1" s="104">
      <c r="A8" s="12" t="inlineStr">
        <is>
          <t>family house rental lipa city</t>
        </is>
      </c>
      <c r="B8" s="12" t="n"/>
      <c r="C8" s="12" t="n"/>
      <c r="D8" s="12" t="n"/>
      <c r="E8" s="12" t="n"/>
      <c r="F8" s="12" t="n"/>
      <c r="G8" s="12" t="n"/>
      <c r="H8" s="12" t="n"/>
    </row>
    <row r="9" ht="24" customHeight="1" s="104">
      <c r="A9" s="9" t="inlineStr">
        <is>
          <t>things to do in lipa city</t>
        </is>
      </c>
      <c r="B9" s="9" t="n"/>
      <c r="C9" s="9" t="n"/>
      <c r="D9" s="9" t="n"/>
      <c r="E9" s="9" t="n"/>
      <c r="F9" s="9" t="n"/>
      <c r="G9" s="9" t="n"/>
      <c r="H9" s="9" t="n"/>
    </row>
    <row r="10" ht="24" customHeight="1" s="104">
      <c r="A10" s="12" t="inlineStr">
        <is>
          <t>lipa city tourist spots</t>
        </is>
      </c>
      <c r="B10" s="12" t="n"/>
      <c r="C10" s="12" t="n"/>
      <c r="D10" s="12" t="n"/>
      <c r="E10" s="12" t="n"/>
      <c r="F10" s="12" t="n"/>
      <c r="G10" s="12" t="n"/>
      <c r="H10" s="12" t="n"/>
    </row>
    <row r="11" ht="24" customHeight="1" s="104">
      <c r="A11" s="9" t="inlineStr">
        <is>
          <t>lipa batangas attractions</t>
        </is>
      </c>
      <c r="B11" s="9" t="n"/>
      <c r="C11" s="9" t="n"/>
      <c r="D11" s="9" t="n"/>
      <c r="E11" s="9" t="n"/>
      <c r="F11" s="9" t="n"/>
      <c r="G11" s="9" t="n"/>
      <c r="H11" s="9" t="n"/>
    </row>
    <row r="12" ht="24" customHeight="1" s="104">
      <c r="A12" s="12" t="inlineStr">
        <is>
          <t>mt maculot hiking guide</t>
        </is>
      </c>
      <c r="B12" s="12" t="n"/>
      <c r="C12" s="12" t="n"/>
      <c r="D12" s="12" t="n"/>
      <c r="E12" s="12" t="n"/>
      <c r="F12" s="12" t="n"/>
      <c r="G12" s="12" t="n"/>
      <c r="H12" s="12" t="n"/>
    </row>
    <row r="13" ht="24" customHeight="1" s="104">
      <c r="A13" s="9" t="inlineStr">
        <is>
          <t>taal volcano day trip from lipa</t>
        </is>
      </c>
      <c r="B13" s="9" t="n"/>
      <c r="C13" s="9" t="n"/>
      <c r="D13" s="9" t="n"/>
      <c r="E13" s="9" t="n"/>
      <c r="F13" s="9" t="n"/>
      <c r="G13" s="9" t="n"/>
      <c r="H13" s="9" t="n"/>
    </row>
    <row r="14" ht="24" customHeight="1" s="104">
      <c r="A14" s="12" t="inlineStr">
        <is>
          <t>weekend getaway near manila</t>
        </is>
      </c>
      <c r="B14" s="12" t="n"/>
      <c r="C14" s="12" t="n"/>
      <c r="D14" s="12" t="n"/>
      <c r="E14" s="12" t="n"/>
      <c r="F14" s="12" t="n"/>
      <c r="G14" s="12" t="n"/>
      <c r="H14" s="12" t="n"/>
    </row>
    <row r="15" ht="24" customHeight="1" s="104">
      <c r="A15" s="9" t="inlineStr">
        <is>
          <t>staycation batangas</t>
        </is>
      </c>
      <c r="B15" s="9" t="n"/>
      <c r="C15" s="9" t="n"/>
      <c r="D15" s="9" t="n"/>
      <c r="E15" s="9" t="n"/>
      <c r="F15" s="9" t="n"/>
      <c r="G15" s="9" t="n"/>
      <c r="H15" s="9" t="n"/>
    </row>
    <row r="16" ht="24" customHeight="1" s="104">
      <c r="A16" s="12" t="inlineStr">
        <is>
          <t>family staycation lipa</t>
        </is>
      </c>
      <c r="B16" s="12" t="n"/>
      <c r="C16" s="12" t="n"/>
      <c r="D16" s="12" t="n"/>
      <c r="E16" s="12" t="n"/>
      <c r="F16" s="12" t="n"/>
      <c r="G16" s="12" t="n"/>
      <c r="H16" s="12" t="n"/>
    </row>
    <row r="17" ht="24" customHeight="1" s="104">
      <c r="A17" s="9" t="inlineStr">
        <is>
          <t>family-friendly rental lipa city</t>
        </is>
      </c>
      <c r="B17" s="9" t="n"/>
      <c r="C17" s="9" t="n"/>
      <c r="D17" s="9" t="n"/>
      <c r="E17" s="9" t="n"/>
      <c r="F17" s="9" t="n"/>
      <c r="G17" s="9" t="n"/>
      <c r="H17" s="9" t="n"/>
    </row>
    <row r="18" ht="24" customHeight="1" s="104">
      <c r="A18" s="12" t="inlineStr">
        <is>
          <t>weekend getaway with kids near manila</t>
        </is>
      </c>
      <c r="B18" s="12" t="n"/>
      <c r="C18" s="12" t="n"/>
      <c r="D18" s="12" t="n"/>
      <c r="E18" s="12" t="n"/>
      <c r="F18" s="12" t="n"/>
      <c r="G18" s="12" t="n"/>
      <c r="H18" s="12" t="n"/>
    </row>
    <row r="19" ht="24" customHeight="1" s="104">
      <c r="A19" s="9" t="inlineStr">
        <is>
          <t>kid-friendly batangas</t>
        </is>
      </c>
      <c r="B19" s="9" t="n"/>
      <c r="C19" s="9" t="n"/>
      <c r="D19" s="9" t="n"/>
      <c r="E19" s="9" t="n"/>
      <c r="F19" s="9" t="n"/>
      <c r="G19" s="9" t="n"/>
      <c r="H19" s="9" t="n"/>
    </row>
    <row r="20" ht="24" customHeight="1" s="104">
      <c r="A20" s="12" t="inlineStr">
        <is>
          <t>romantic getaway batangas</t>
        </is>
      </c>
      <c r="B20" s="12" t="n"/>
      <c r="C20" s="12" t="n"/>
      <c r="D20" s="12" t="n"/>
      <c r="E20" s="12" t="n"/>
      <c r="F20" s="12" t="n"/>
      <c r="G20" s="12" t="n"/>
      <c r="H20" s="12" t="n"/>
    </row>
    <row r="21" ht="24" customHeight="1" s="104">
      <c r="A21" s="9" t="inlineStr">
        <is>
          <t>couple retreat lipa</t>
        </is>
      </c>
      <c r="B21" s="9" t="n"/>
      <c r="C21" s="9" t="n"/>
      <c r="D21" s="9" t="n"/>
      <c r="E21" s="9" t="n"/>
      <c r="F21" s="9" t="n"/>
      <c r="G21" s="9" t="n"/>
      <c r="H21" s="9" t="n"/>
    </row>
    <row r="22" ht="24" customHeight="1" s="104">
      <c r="A22" s="12" t="inlineStr">
        <is>
          <t>honeymoon batangas</t>
        </is>
      </c>
      <c r="B22" s="12" t="n"/>
      <c r="C22" s="12" t="n"/>
      <c r="D22" s="12" t="n"/>
      <c r="E22" s="12" t="n"/>
      <c r="F22" s="12" t="n"/>
      <c r="G22" s="12" t="n"/>
      <c r="H22" s="12" t="n"/>
    </row>
    <row r="23" ht="24" customHeight="1" s="104">
      <c r="A23" s="9" t="inlineStr">
        <is>
          <t>anniversary getaway near manila</t>
        </is>
      </c>
      <c r="B23" s="9" t="n"/>
      <c r="C23" s="9" t="n"/>
      <c r="D23" s="9" t="n"/>
      <c r="E23" s="9" t="n"/>
      <c r="F23" s="9" t="n"/>
      <c r="G23" s="9" t="n"/>
      <c r="H23" s="9" t="n"/>
    </row>
    <row r="24" ht="24" customHeight="1" s="104">
      <c r="A24" s="12" t="inlineStr">
        <is>
          <t>family weekend batangas</t>
        </is>
      </c>
      <c r="B24" s="12" t="n"/>
      <c r="C24" s="12" t="n"/>
      <c r="D24" s="12" t="n"/>
      <c r="E24" s="12" t="n"/>
      <c r="F24" s="12" t="n"/>
      <c r="G24" s="12" t="n"/>
      <c r="H24" s="12" t="n"/>
    </row>
    <row r="25" ht="24" customHeight="1" s="104">
      <c r="A25" s="9" t="inlineStr">
        <is>
          <t>weekend near manila with family</t>
        </is>
      </c>
      <c r="B25" s="9" t="n"/>
      <c r="C25" s="9" t="n"/>
      <c r="D25" s="9" t="n"/>
      <c r="E25" s="9" t="n"/>
      <c r="F25" s="9" t="n"/>
      <c r="G25" s="9" t="n"/>
      <c r="H25" s="9" t="n"/>
    </row>
    <row r="26" ht="24" customHeight="1" s="104">
      <c r="A26" s="12" t="inlineStr">
        <is>
          <t>batangas without beach crowds</t>
        </is>
      </c>
      <c r="B26" s="12" t="n"/>
      <c r="C26" s="12" t="n"/>
      <c r="D26" s="12" t="n"/>
      <c r="E26" s="12" t="n"/>
      <c r="F26" s="12" t="n"/>
      <c r="G26" s="12" t="n"/>
      <c r="H26" s="12" t="n"/>
    </row>
    <row r="27" ht="24" customHeight="1" s="104">
      <c r="A27" s="9" t="inlineStr">
        <is>
          <t>barkada group trip lipa</t>
        </is>
      </c>
      <c r="B27" s="9" t="n"/>
      <c r="C27" s="9" t="n"/>
      <c r="D27" s="9" t="n"/>
      <c r="E27" s="9" t="n"/>
      <c r="F27" s="9" t="n"/>
      <c r="G27" s="9" t="n"/>
      <c r="H27" s="9" t="n"/>
    </row>
    <row r="28" ht="24" customHeight="1" s="104">
      <c r="A28" s="12" t="inlineStr">
        <is>
          <t>holy week getaway lipa</t>
        </is>
      </c>
      <c r="B28" s="12" t="n"/>
      <c r="C28" s="12" t="n"/>
      <c r="D28" s="12" t="n"/>
      <c r="E28" s="12" t="n"/>
      <c r="F28" s="12" t="n"/>
      <c r="G28" s="12" t="n"/>
      <c r="H28" s="12" t="n"/>
    </row>
    <row r="29" ht="24" customHeight="1" s="104">
      <c r="A29" s="9" t="inlineStr">
        <is>
          <t>remote work staycation philippines</t>
        </is>
      </c>
      <c r="B29" s="9" t="n"/>
      <c r="C29" s="9" t="n"/>
      <c r="D29" s="9" t="n"/>
      <c r="E29" s="9" t="n"/>
      <c r="F29" s="9" t="n"/>
      <c r="G29" s="9" t="n"/>
      <c r="H29" s="9" t="n"/>
    </row>
    <row r="30" ht="24" customHeight="1" s="104">
      <c r="A30" s="12" t="inlineStr">
        <is>
          <t>summer in lipa 2026</t>
        </is>
      </c>
      <c r="B30" s="12" t="n"/>
      <c r="C30" s="12" t="n"/>
      <c r="D30" s="12" t="n"/>
      <c r="E30" s="12" t="n"/>
      <c r="F30" s="12" t="n"/>
      <c r="G30" s="12" t="n"/>
      <c r="H30" s="12" t="n"/>
    </row>
    <row r="31" ht="24" customHeight="1" s="104">
      <c r="A31" s="9" t="inlineStr">
        <is>
          <t>senior-friendly lipa getaway</t>
        </is>
      </c>
      <c r="B31" s="9" t="n"/>
      <c r="C31" s="9" t="n"/>
      <c r="D31" s="9" t="n"/>
      <c r="E31" s="9" t="n"/>
      <c r="F31" s="9" t="n"/>
      <c r="G31" s="9" t="n"/>
      <c r="H31" s="9" t="n"/>
    </row>
    <row r="32" ht="24" customHeight="1" s="104">
      <c r="A32" s="12" t="inlineStr">
        <is>
          <t>solo travel guide to lipa</t>
        </is>
      </c>
      <c r="B32" s="12" t="n"/>
      <c r="C32" s="12" t="n"/>
      <c r="D32" s="12" t="n"/>
      <c r="E32" s="12" t="n"/>
      <c r="F32" s="12" t="n"/>
      <c r="G32" s="12" t="n"/>
      <c r="H32" s="12" t="n"/>
    </row>
    <row r="33" ht="24" customHeight="1" s="104">
      <c r="A33" s="9" t="inlineStr">
        <is>
          <t>best restaurants in lipa</t>
        </is>
      </c>
      <c r="B33" s="9" t="n"/>
      <c r="C33" s="9" t="n"/>
      <c r="D33" s="9" t="n"/>
      <c r="E33" s="9" t="n"/>
      <c r="F33" s="9" t="n"/>
      <c r="G33" s="9" t="n"/>
      <c r="H33" s="9" t="n"/>
    </row>
    <row r="34" ht="24" customHeight="1" s="104">
      <c r="A34" s="12" t="inlineStr">
        <is>
          <t>lipa city travel guide</t>
        </is>
      </c>
      <c r="B34" s="12" t="n"/>
      <c r="C34" s="12" t="n"/>
      <c r="D34" s="12" t="n"/>
      <c r="E34" s="12" t="n"/>
      <c r="F34" s="12" t="n"/>
      <c r="G34" s="12" t="n"/>
      <c r="H34" s="12" t="n"/>
    </row>
    <row r="35" ht="24" customHeight="1" s="104">
      <c r="A35" s="9" t="inlineStr">
        <is>
          <t>how to get to lipa from manila</t>
        </is>
      </c>
      <c r="B35" s="9" t="n"/>
      <c r="C35" s="9" t="n"/>
      <c r="D35" s="9" t="n"/>
      <c r="E35" s="9" t="n"/>
      <c r="F35" s="9" t="n"/>
      <c r="G35" s="9" t="n"/>
      <c r="H35" s="9" t="n"/>
    </row>
    <row r="36" ht="24" customHeight="1" s="104">
      <c r="A36" s="12" t="inlineStr">
        <is>
          <t>batangas road trip itinerary</t>
        </is>
      </c>
      <c r="B36" s="12" t="n"/>
      <c r="C36" s="12" t="n"/>
      <c r="D36" s="12" t="n"/>
      <c r="E36" s="12" t="n"/>
      <c r="F36" s="12" t="n"/>
      <c r="G36" s="12" t="n"/>
      <c r="H36" s="12" t="n"/>
    </row>
    <row r="37" ht="24" customHeight="1" s="104">
      <c r="A37" s="9" t="inlineStr">
        <is>
          <t>lipa city food trip</t>
        </is>
      </c>
      <c r="B37" s="9" t="n"/>
      <c r="C37" s="9" t="n"/>
      <c r="D37" s="9" t="n"/>
      <c r="E37" s="9" t="n"/>
      <c r="F37" s="9" t="n"/>
      <c r="G37" s="9" t="n"/>
      <c r="H37" s="9" t="n"/>
    </row>
    <row r="38" ht="24" customHeight="1" s="104">
      <c r="A38" s="12" t="inlineStr">
        <is>
          <t>lipa family itinerary</t>
        </is>
      </c>
      <c r="B38" s="12" t="n"/>
      <c r="C38" s="12" t="n"/>
      <c r="D38" s="12" t="n"/>
      <c r="E38" s="12" t="n"/>
      <c r="F38" s="12" t="n"/>
      <c r="G38" s="12" t="n"/>
      <c r="H38" s="12" t="n"/>
    </row>
    <row r="39" ht="24" customHeight="1" s="104">
      <c r="A39" s="9" t="inlineStr">
        <is>
          <t>book direct vs airbnb</t>
        </is>
      </c>
      <c r="B39" s="9" t="n"/>
      <c r="C39" s="9" t="n"/>
      <c r="D39" s="9" t="n"/>
      <c r="E39" s="9" t="n"/>
      <c r="F39" s="9" t="n"/>
      <c r="G39" s="9" t="n"/>
      <c r="H39" s="9" t="n"/>
    </row>
    <row r="40" ht="24" customHeight="1" s="104">
      <c r="A40" s="12" t="inlineStr">
        <is>
          <t>save on vacation rental fees</t>
        </is>
      </c>
      <c r="B40" s="12" t="n"/>
      <c r="C40" s="12" t="n"/>
      <c r="D40" s="12" t="n"/>
      <c r="E40" s="12" t="n"/>
      <c r="F40" s="12" t="n"/>
      <c r="G40" s="12" t="n"/>
      <c r="H40" s="12" t="n"/>
    </row>
    <row r="41" ht="24" customHeight="1" s="104">
      <c r="A41" s="9" t="inlineStr">
        <is>
          <t>why book direct accommodation</t>
        </is>
      </c>
      <c r="B41" s="9" t="n"/>
      <c r="C41" s="9" t="n"/>
      <c r="D41" s="9" t="n"/>
      <c r="E41" s="9" t="n"/>
      <c r="F41" s="9" t="n"/>
      <c r="G41" s="9" t="n"/>
      <c r="H41" s="9" t="n"/>
    </row>
    <row r="42" ht="24" customHeight="1" s="104">
      <c r="A42" s="12" t="inlineStr">
        <is>
          <t>vacation rental no service fee</t>
        </is>
      </c>
      <c r="B42" s="12" t="n"/>
      <c r="C42" s="12" t="n"/>
      <c r="D42" s="12" t="n"/>
      <c r="E42" s="12" t="n"/>
      <c r="F42" s="12" t="n"/>
      <c r="G42" s="12" t="n"/>
      <c r="H42" s="12" t="n"/>
    </row>
    <row r="43" ht="24" customHeight="1" s="104">
      <c r="A43" s="9" t="inlineStr">
        <is>
          <t>mickey in lipa</t>
        </is>
      </c>
      <c r="B43" s="9" t="n"/>
      <c r="C43" s="9" t="n"/>
      <c r="D43" s="9" t="n"/>
      <c r="E43" s="9" t="n"/>
      <c r="F43" s="9" t="n"/>
      <c r="G43" s="9" t="n"/>
      <c r="H43" s="9" t="n"/>
    </row>
    <row r="44" ht="24" customHeight="1" s="104">
      <c r="A44" s="12" t="inlineStr">
        <is>
          <t>disney-inspired house lipa</t>
        </is>
      </c>
      <c r="B44" s="12" t="n"/>
      <c r="C44" s="12" t="n"/>
      <c r="D44" s="12" t="n"/>
      <c r="E44" s="12" t="n"/>
      <c r="F44" s="12" t="n"/>
      <c r="G44" s="12" t="n"/>
      <c r="H44" s="12" t="n"/>
    </row>
    <row r="45" ht="24" customHeight="1" s="104">
      <c r="A45" s="9" t="inlineStr">
        <is>
          <t>disney themed rental philippines</t>
        </is>
      </c>
      <c r="B45" s="9" t="n"/>
      <c r="C45" s="9" t="n"/>
      <c r="D45" s="9" t="n"/>
      <c r="E45" s="9" t="n"/>
      <c r="F45" s="9" t="n"/>
      <c r="G45" s="9" t="n"/>
      <c r="H45" s="9" t="n"/>
    </row>
    <row r="46" ht="24" customHeight="1" s="104">
      <c r="A46" s="12" t="inlineStr">
        <is>
          <t>bella vita lipa rental</t>
        </is>
      </c>
      <c r="B46" s="12" t="n"/>
      <c r="C46" s="12" t="n"/>
      <c r="D46" s="12" t="n"/>
      <c r="E46" s="12" t="n"/>
      <c r="F46" s="12" t="n"/>
      <c r="G46" s="12" t="n"/>
      <c r="H46" s="12" t="n"/>
    </row>
    <row r="47" ht="24" customHeight="1" s="104">
      <c r="A47" s="9" t="inlineStr">
        <is>
          <t>haven in lipa</t>
        </is>
      </c>
      <c r="B47" s="9" t="n"/>
      <c r="C47" s="9" t="n"/>
      <c r="D47" s="9" t="n"/>
      <c r="E47" s="9" t="n"/>
      <c r="F47" s="9" t="n"/>
      <c r="G47" s="9" t="n"/>
      <c r="H47" s="9"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8"/>
  <sheetViews>
    <sheetView workbookViewId="0">
      <selection activeCell="A1" sqref="A1:XFD1"/>
    </sheetView>
  </sheetViews>
  <sheetFormatPr baseColWidth="10" defaultRowHeight="15"/>
  <cols>
    <col width="24.1640625" bestFit="1" customWidth="1" style="104" min="1" max="1"/>
  </cols>
  <sheetData>
    <row r="1" ht="16" customHeight="1" s="104">
      <c r="A1" s="21" t="inlineStr">
        <is>
          <t>Value</t>
        </is>
      </c>
      <c r="B1" s="21" t="inlineStr">
        <is>
          <t>Meaning</t>
        </is>
      </c>
    </row>
    <row r="2" ht="16" customHeight="1" s="104">
      <c r="A2" s="22" t="inlineStr">
        <is>
          <t>Indexed</t>
        </is>
      </c>
      <c r="B2" s="22" t="inlineStr">
        <is>
          <t>URL Inspection says "URL is on Google"</t>
        </is>
      </c>
    </row>
    <row r="3" ht="16" customHeight="1" s="104">
      <c r="A3" s="22" t="inlineStr">
        <is>
          <t>Not Indexed - Requested</t>
        </is>
      </c>
      <c r="B3" s="22" t="inlineStr">
        <is>
          <t>You clicked Request Indexing; waiting on Google</t>
        </is>
      </c>
    </row>
    <row r="4" ht="16" customHeight="1" s="104">
      <c r="A4" s="22" t="inlineStr">
        <is>
          <t>Not Indexed</t>
        </is>
      </c>
      <c r="B4" s="22" t="inlineStr">
        <is>
          <t>Page is not on Google, no request sent yet</t>
        </is>
      </c>
    </row>
    <row r="5" ht="16" customHeight="1" s="104">
      <c r="A5" s="22" t="inlineStr">
        <is>
          <t>Crawled Not Indexed</t>
        </is>
      </c>
      <c r="B5" s="22" t="inlineStr">
        <is>
          <t>Google saw it and declined — content needs improvement</t>
        </is>
      </c>
    </row>
    <row r="6" ht="16" customHeight="1" s="104">
      <c r="A6" s="22" t="inlineStr">
        <is>
          <t>Discovered Not Indexed</t>
        </is>
      </c>
      <c r="B6" s="22" t="inlineStr">
        <is>
          <t>Google knows but hasn't crawled — needs internal links</t>
        </is>
      </c>
    </row>
    <row r="7" ht="16" customHeight="1" s="104">
      <c r="A7" s="22" t="inlineStr">
        <is>
          <t>Page Not Published</t>
        </is>
      </c>
      <c r="B7" s="22" t="inlineStr">
        <is>
          <t>No live URL exists yet (gap/draft keywords)</t>
        </is>
      </c>
    </row>
    <row r="8" ht="16" customHeight="1" s="104">
      <c r="A8" s="22" t="inlineStr">
        <is>
          <t>N/A - Brand Term</t>
        </is>
      </c>
      <c r="B8" s="22" t="inlineStr">
        <is>
          <t>Homepage / brand-only keywords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2026-05-18T07:40:09Z</dcterms:created>
  <dcterms:modified xmlns:dcterms="http://purl.org/dc/terms/" xmlns:xsi="http://www.w3.org/2001/XMLSchema-instance" xsi:type="dcterms:W3CDTF">2026-08-14T14:32:25Z</dcterms:modified>
  <cp:lastModifiedBy>Cedric Castillo</cp:lastModifiedBy>
</cp:coreProperties>
</file>