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Volumes/Files and Cloud/Dropbox/VSCode (non-Git)/seo/content for HavenInLipa/"/>
    </mc:Choice>
  </mc:AlternateContent>
  <xr:revisionPtr revIDLastSave="0" documentId="13_ncr:1_{6D3560CE-5396-B642-BB3C-FDD7E96DF147}" xr6:coauthVersionLast="47" xr6:coauthVersionMax="47" xr10:uidLastSave="{00000000-0000-0000-0000-000000000000}"/>
  <bookViews>
    <workbookView xWindow="0" yWindow="660" windowWidth="34560" windowHeight="20180" activeTab="6" xr2:uid="{00000000-000D-0000-FFFF-FFFF00000000}"/>
  </bookViews>
  <sheets>
    <sheet name="README" sheetId="1" r:id="rId1"/>
    <sheet name="KPI Dashboard" sheetId="2" r:id="rId2"/>
    <sheet name="Cluster KPIs" sheetId="3" r:id="rId3"/>
    <sheet name="Keyword Master" sheetId="4" r:id="rId4"/>
    <sheet name="To Do with Keywords" sheetId="5" r:id="rId5"/>
    <sheet name="Priority Focus (60-Day)" sheetId="6" r:id="rId6"/>
    <sheet name="Page Indexing Tracker" sheetId="7" r:id="rId7"/>
    <sheet name="GSC Setup Steps" sheetId="8" r:id="rId8"/>
    <sheet name="GSC Troubleshooting" sheetId="9" r:id="rId9"/>
    <sheet name="Blogger Brief" sheetId="10" r:id="rId10"/>
    <sheet name="Tracking Log Template" sheetId="11" r:id="rId11"/>
    <sheet name="Lists" sheetId="12" r:id="rId12"/>
  </sheets>
  <definedNames>
    <definedName name="_xlnm._FilterDatabase" localSheetId="3" hidden="1">'Keyword Master'!$A$1:$Q$83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3" l="1"/>
  <c r="F9" i="3"/>
  <c r="E9" i="3"/>
  <c r="D9" i="3"/>
  <c r="C9" i="3"/>
  <c r="B9" i="3"/>
  <c r="F8" i="3"/>
  <c r="E8" i="3"/>
  <c r="D8" i="3"/>
  <c r="C8" i="3"/>
  <c r="B8" i="3"/>
  <c r="F7" i="3"/>
  <c r="E7" i="3"/>
  <c r="D7" i="3"/>
  <c r="C7" i="3"/>
  <c r="B7" i="3"/>
  <c r="F6" i="3"/>
  <c r="E6" i="3"/>
  <c r="D6" i="3"/>
  <c r="C6" i="3"/>
  <c r="B6" i="3"/>
  <c r="F5" i="3"/>
  <c r="E5" i="3"/>
  <c r="D5" i="3"/>
  <c r="C5" i="3"/>
  <c r="B5" i="3"/>
  <c r="F4" i="3"/>
  <c r="F10" i="3" s="1"/>
  <c r="E4" i="3"/>
  <c r="E10" i="3" s="1"/>
  <c r="D4" i="3"/>
  <c r="C4" i="3"/>
  <c r="C10" i="3" s="1"/>
  <c r="B4" i="3"/>
  <c r="B10" i="3" s="1"/>
  <c r="F26" i="2"/>
  <c r="G26" i="2" s="1"/>
  <c r="E26" i="2"/>
  <c r="D26" i="2"/>
  <c r="C26" i="2"/>
  <c r="G25" i="2"/>
  <c r="G22" i="2"/>
  <c r="G19" i="2"/>
  <c r="G18" i="2"/>
  <c r="G17" i="2"/>
  <c r="G16" i="2"/>
  <c r="G14" i="2"/>
  <c r="G13" i="2"/>
  <c r="G12" i="2"/>
  <c r="G11" i="2"/>
  <c r="G9" i="2"/>
  <c r="G8" i="2"/>
  <c r="G7" i="2"/>
  <c r="G6" i="2"/>
  <c r="G5" i="2"/>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alcChain>
</file>

<file path=xl/sharedStrings.xml><?xml version="1.0" encoding="utf-8"?>
<sst xmlns="http://schemas.openxmlformats.org/spreadsheetml/2006/main" count="1606" uniqueCount="780">
  <si>
    <t>Keyword / Keyphrase</t>
  </si>
  <si>
    <t>Cluster</t>
  </si>
  <si>
    <t>Search Intent</t>
  </si>
  <si>
    <t>Priority</t>
  </si>
  <si>
    <t>Role</t>
  </si>
  <si>
    <t>Target URL / Page</t>
  </si>
  <si>
    <t>Confirmed Live Slug</t>
  </si>
  <si>
    <t>Article</t>
  </si>
  <si>
    <t>Status</t>
  </si>
  <si>
    <t>GSC Tracked? (Y/N)</t>
  </si>
  <si>
    <t>Current Avg. Position</t>
  </si>
  <si>
    <t>Striking Distance?</t>
  </si>
  <si>
    <t>Impressions (28d)</t>
  </si>
  <si>
    <t>Clicks (28d)</t>
  </si>
  <si>
    <t>CTR %</t>
  </si>
  <si>
    <t>Last Reviewed</t>
  </si>
  <si>
    <t>Notes</t>
  </si>
  <si>
    <t>things to do in lipa city</t>
  </si>
  <si>
    <t>Cluster 2 - Things to Do in Lipa</t>
  </si>
  <si>
    <t>Informational</t>
  </si>
  <si>
    <t>High</t>
  </si>
  <si>
    <t>Primary</t>
  </si>
  <si>
    <t>https://blog.haveninlipa.com/15-best-things-to-do-in-lipa-city-batangas-2026-locals-guide/</t>
  </si>
  <si>
    <t>Published</t>
  </si>
  <si>
    <t>Y</t>
  </si>
  <si>
    <t>Target URL synced to live slug + confirmed indexed (GSC) 2026-06-02.</t>
  </si>
  <si>
    <t>lipa city tourist spots</t>
  </si>
  <si>
    <t>Secondary</t>
  </si>
  <si>
    <t>lipa batangas attractions</t>
  </si>
  <si>
    <t>Medium</t>
  </si>
  <si>
    <t>weekend getaway near manila</t>
  </si>
  <si>
    <t>Cluster 3 - Weekend Getaway / Audience</t>
  </si>
  <si>
    <t>Mixed</t>
  </si>
  <si>
    <t>https://blog.haveninlipa.com/weekend-getaway-in-lipa-city-batangas-your-chill-escape-near-manila/</t>
  </si>
  <si>
    <t>mt maculot hiking guide</t>
  </si>
  <si>
    <t>https://blog.haveninlipa.com/mt-maculot-hiking-guide-2026-trail-tips-routes-where-to-stay-in-lipa/</t>
  </si>
  <si>
    <t>best restaurants in lipa</t>
  </si>
  <si>
    <t>Cluster 4 - Travel Planning &amp; Logistics</t>
  </si>
  <si>
    <t>https://blog.haveninlipa.com/best-restaurants-cafes-in-lipa-city-batangas-2026-food-guide/</t>
  </si>
  <si>
    <t>lipa city food trip</t>
  </si>
  <si>
    <t>airbnb alternative lipa</t>
  </si>
  <si>
    <t>Cluster 1 - Short-Term Rentals</t>
  </si>
  <si>
    <t>Transactional</t>
  </si>
  <si>
    <t>https://blog.haveninlipa.com/why-book-direct-instead-of-airbnb-a-philippines-hosts-honest-take/</t>
  </si>
  <si>
    <t>direct booking lipa city</t>
  </si>
  <si>
    <t>Commercial</t>
  </si>
  <si>
    <t>book direct vs airbnb</t>
  </si>
  <si>
    <t>Cluster 5 - Direct Booking &amp; Value</t>
  </si>
  <si>
    <t>save on vacation rental fees</t>
  </si>
  <si>
    <t>why book direct accommodation</t>
  </si>
  <si>
    <t>taal volcano day trip from lipa</t>
  </si>
  <si>
    <t>https://blog.haveninlipa.com/taal-volcano-day-trip-from-lipa-city-2026-updated-guide/</t>
  </si>
  <si>
    <t>holy week getaway lipa</t>
  </si>
  <si>
    <t>Seasonal</t>
  </si>
  <si>
    <t>https://blog.haveninlipa.com/holy-week-in-lipa-city-batangas-a-peaceful-retreat-near-manila/</t>
  </si>
  <si>
    <t>remote work staycation philippines</t>
  </si>
  <si>
    <t>https://blog.haveninlipa.com/work-from-lipa-the-affordable-remote-work-staycation-near-manila/</t>
  </si>
  <si>
    <t>how to get to lipa from manila</t>
  </si>
  <si>
    <t>https://blog.haveninlipa.com/how-to-get-to-lipa-city-from-manila-2026-guide/</t>
  </si>
  <si>
    <t>family staycation lipa</t>
  </si>
  <si>
    <t>https://blog.haveninlipa.com/family-staycation-lipa/</t>
  </si>
  <si>
    <t>https://blog.haveninlipa.com/family-staycation-lipa-city-batangas/</t>
  </si>
  <si>
    <t>family-friendly rental lipa city</t>
  </si>
  <si>
    <t>weekend getaway with kids near manila</t>
  </si>
  <si>
    <t>kid-friendly batangas</t>
  </si>
  <si>
    <t>romantic getaway batangas</t>
  </si>
  <si>
    <t>https://blog.haveninlipa.com/romantic-getaway-batangas/</t>
  </si>
  <si>
    <t>https://blog.haveninlipa.com/romantic-getaway-batangas-lipa-city/</t>
  </si>
  <si>
    <t>couple retreat lipa</t>
  </si>
  <si>
    <t>honeymoon batangas</t>
  </si>
  <si>
    <t>anniversary getaway near manila</t>
  </si>
  <si>
    <t>full house rental lipa</t>
  </si>
  <si>
    <t>https://haveninlipa.com/properties/mickey-in-lipa--full-family-house--sleeps-15</t>
  </si>
  <si>
    <t>Live - verify GSC</t>
  </si>
  <si>
    <t>Transactional → Full Family House (sleeps 15). Mapped to booking page, not blog, 2026-06-18.</t>
  </si>
  <si>
    <t>family house rental lipa city</t>
  </si>
  <si>
    <t>https://haveninlipa.com/properties/mickey-in-lipa--family-house--sleeps-11</t>
  </si>
  <si>
    <t>Transactional → Family House (sleeps 11). Mapped to booking page, not blog, 2026-06-18.</t>
  </si>
  <si>
    <t>mickey in lipa</t>
  </si>
  <si>
    <t>Cluster 6 - Branded / Property</t>
  </si>
  <si>
    <t>Branded</t>
  </si>
  <si>
    <t>https://blog.haveninlipa.com/mickey-in-lipa-coming-soon/</t>
  </si>
  <si>
    <t>Branded → launch post hub (links all 3 configs). 2026-06-18.</t>
  </si>
  <si>
    <t>disney-inspired house lipa</t>
  </si>
  <si>
    <t>Commercial → launch post hub. 2026-06-18.</t>
  </si>
  <si>
    <t>disney themed rental philippines</t>
  </si>
  <si>
    <t>bella vita lipa rental</t>
  </si>
  <si>
    <t>Local/Branded</t>
  </si>
  <si>
    <t>Local/Branded → launch post hub. 2026-06-18.</t>
  </si>
  <si>
    <t>family weekend batangas</t>
  </si>
  <si>
    <t>https://blog.haveninlipa.com/family-weekend-batangas-without-beach-crowds/</t>
  </si>
  <si>
    <t>weekend near manila with family</t>
  </si>
  <si>
    <t>batangas without beach crowds</t>
  </si>
  <si>
    <t>lipa family itinerary</t>
  </si>
  <si>
    <t>independence day long weekend lipa</t>
  </si>
  <si>
    <t>https://blog.haveninlipa.com/independence-day-long-weekend-lipa-2026/</t>
  </si>
  <si>
    <t>PRIMARY. Holiday long-tail; deliberately NOT generic 'weekend getaway near manila' (#3) to avoid cannibalization.</t>
  </si>
  <si>
    <t>independence day getaway near manila 2026</t>
  </si>
  <si>
    <t>Secondary.</t>
  </si>
  <si>
    <t>araw ng kalayaan weekend itinerary</t>
  </si>
  <si>
    <t>Low</t>
  </si>
  <si>
    <t>Secondary (Tagalog variant).</t>
  </si>
  <si>
    <t>what to do in lipa when it rains</t>
  </si>
  <si>
    <t>https://blog.haveninlipa.com/what-to-do-in-lipa-city-when-it-rains/</t>
  </si>
  <si>
    <t>https://blog.haveninlipa.com/indoor-things-to-do-in-lipa-city-when-it-rains/</t>
  </si>
  <si>
    <t>PRIMARY. Rainy/indoor variant; NOT 'things to do in lipa city' (owned by #1) to avoid cannibalization.</t>
  </si>
  <si>
    <t>indoor things to do in lipa city</t>
  </si>
  <si>
    <t>rainy day activities lipa batangas</t>
  </si>
  <si>
    <t>lipa barako coffee</t>
  </si>
  <si>
    <t>https://blog.haveninlipa.com/lipa-barako-coffee-heritage-where-to-drink/</t>
  </si>
  <si>
    <t>PRIMARY. Heritage/attraction; new keyphrase, no existing owner.</t>
  </si>
  <si>
    <t>coffee capital of the philippines lipa</t>
  </si>
  <si>
    <t>where to drink barako coffee lipa</t>
  </si>
  <si>
    <t>best lomi in lipa</t>
  </si>
  <si>
    <t>https://blog.haveninlipa.com/best-lomi-lipa-city/</t>
  </si>
  <si>
    <t>best-lomi-lipa-city</t>
  </si>
  <si>
    <t>PRIMARY. Dish-specific; distinct from 'best restaurants in lipa'/'lipa city food trip' (#5) to avoid cannibalization.</t>
  </si>
  <si>
    <t>lomi lipa city</t>
  </si>
  <si>
    <t>beegees lomi lipa</t>
  </si>
  <si>
    <t>Branded/Local</t>
  </si>
  <si>
    <t>Secondary (named business).</t>
  </si>
  <si>
    <t>work from lipa</t>
  </si>
  <si>
    <t>https://blog.haveninlipa.com/work-from-lipa-rainy-season-july/</t>
  </si>
  <si>
    <t>PRIMARY. Seasonal rainy-season angle; complements (not duplicates) #9 'remote work staycation philippines' — keep distinct + cross-link.</t>
  </si>
  <si>
    <t>work from lipa rainy season</t>
  </si>
  <si>
    <t>workation lipa batangas</t>
  </si>
  <si>
    <t>lipa vs tagaytay</t>
  </si>
  <si>
    <t>https://blog.haveninlipa.com/lipa-vs-tagaytay-honest-comparison/</t>
  </si>
  <si>
    <t>Drafted - Article #20 (publishes Jul 13 2026)</t>
  </si>
  <si>
    <t>PRIMARY. High-intent comparison; reinforces anti-Tagaytay wedge.</t>
  </si>
  <si>
    <t>tagaytay alternative weekend getaway</t>
  </si>
  <si>
    <t>lipa or tagaytay which is better</t>
  </si>
  <si>
    <t>casa de segunda lipa</t>
  </si>
  <si>
    <t>https://blog.haveninlipa.com/casa-de-segunda-lipa-heritage-walk/</t>
  </si>
  <si>
    <t>Drafted - Article #21 (publishes Jul 20 2026)</t>
  </si>
  <si>
    <t>PRIMARY. Heritage attraction; new keyphrase.</t>
  </si>
  <si>
    <t>lipa heritage houses</t>
  </si>
  <si>
    <t>spanish-era houses lipa batangas</t>
  </si>
  <si>
    <t>carmel of lipa</t>
  </si>
  <si>
    <t>https://blog.haveninlipa.com/where-to-pray-reflect-rest-lipa-carmel-cathedral/</t>
  </si>
  <si>
    <t>Drafted - Article #22 (publishes Jul 27 2026)</t>
  </si>
  <si>
    <t>PRIMARY. Evergreen pilgrimage; distinct from 'holy week getaway lipa' (#8, seasonal) to avoid cannibalization.</t>
  </si>
  <si>
    <t>lipa pilgrimage</t>
  </si>
  <si>
    <t>san sebastian cathedral lipa</t>
  </si>
  <si>
    <t>august long weekend lipa 2026</t>
  </si>
  <si>
    <t>https://blog.haveninlipa.com/lipa-august-long-weekends-2026-booking-guide/</t>
  </si>
  <si>
    <t>Drafted - Article #23 (publishes Aug 3 2026)</t>
  </si>
  <si>
    <t>PRIMARY. HUB for both Aug holidays; owns the generic August-long-weekend term. #25/#26 own the individual holidays — split to avoid cannibalization.</t>
  </si>
  <si>
    <t>august long weekends philippines 2026</t>
  </si>
  <si>
    <t>long weekend booking guide lipa</t>
  </si>
  <si>
    <t>lipa charter day</t>
  </si>
  <si>
    <t>https://blog.haveninlipa.com/lipa-charter-day-history-coffee-town-to-city/</t>
  </si>
  <si>
    <t>Drafted - Article #24 (publishes Aug 10 2026)</t>
  </si>
  <si>
    <t>PRIMARY. History/heritage; new keyphrase.</t>
  </si>
  <si>
    <t>lipa city history</t>
  </si>
  <si>
    <t>when did lipa become a city</t>
  </si>
  <si>
    <t>ninoy aquino day long weekend 2026</t>
  </si>
  <si>
    <t>https://blog.haveninlipa.com/ninoy-aquino-day-long-weekend-lipa-2026/</t>
  </si>
  <si>
    <t>Drafted - Article #25 (publishes Aug 17 2026)</t>
  </si>
  <si>
    <t>PRIMARY. Specific holiday; spoke of #23 hub. Distinct from #23/#26.</t>
  </si>
  <si>
    <t>ninoy aquino day getaway lipa</t>
  </si>
  <si>
    <t>august 21 long weekend itinerary</t>
  </si>
  <si>
    <t>national heroes day weekend lipa 2026</t>
  </si>
  <si>
    <t>https://blog.haveninlipa.com/heroes-day-weekend-lipa-2026-quiet-itinerary/</t>
  </si>
  <si>
    <t>Drafted - Article #26 (publishes Aug 24 2026)</t>
  </si>
  <si>
    <t>PRIMARY. Specific holiday; spoke of #23 hub. Distinct from #23/#25.</t>
  </si>
  <si>
    <t>heroes day long weekend getaway</t>
  </si>
  <si>
    <t>august 28-31 long weekend lipa</t>
  </si>
  <si>
    <t>short term rental lipa city</t>
  </si>
  <si>
    <t>https://haveninlipa.com/</t>
  </si>
  <si>
    <t>Partial - homepage</t>
  </si>
  <si>
    <t>vacation rental lipa batangas</t>
  </si>
  <si>
    <t>https://haveninlipa.com/ + property pages</t>
  </si>
  <si>
    <t>Partial</t>
  </si>
  <si>
    <t>affordable staycation lipa</t>
  </si>
  <si>
    <t>staycation batangas</t>
  </si>
  <si>
    <t>Multiple articles</t>
  </si>
  <si>
    <t>barkada group trip lipa</t>
  </si>
  <si>
    <t>TBD - Tier C article</t>
  </si>
  <si>
    <t>Gap</t>
  </si>
  <si>
    <t>summer in lipa 2026</t>
  </si>
  <si>
    <t>TBD - Seasonal LP</t>
  </si>
  <si>
    <t>senior-friendly lipa getaway</t>
  </si>
  <si>
    <t>TBD - Tier D</t>
  </si>
  <si>
    <t>solo travel guide to lipa</t>
  </si>
  <si>
    <t>lipa city travel guide</t>
  </si>
  <si>
    <t>batangas road trip itinerary</t>
  </si>
  <si>
    <t>TBD - Tier C hub article</t>
  </si>
  <si>
    <t>vacation rental no service fee</t>
  </si>
  <si>
    <t>haven in lipa</t>
  </si>
  <si>
    <t>Branded SERP</t>
  </si>
  <si>
    <t>Brand visibility tracking</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</si>
  <si>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</si>
  <si>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</si>
  <si>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</si>
  <si>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</si>
  <si>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</si>
  <si>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</si>
  <si>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</si>
  <si>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</si>
  <si>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</si>
  <si>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</si>
  <si>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</si>
  <si>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</si>
  <si>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</si>
  <si>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</si>
  <si>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</si>
  <si>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</si>
  <si>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</si>
  <si>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</si>
  <si>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</si>
  <si>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</si>
  <si>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</si>
  <si>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KPI Dashboard - how to update (monthly)</t>
  </si>
  <si>
    <t>Once a month, open 'KPI Dashboard' and paste this month's numbers into the newest month column (seeded: 2026-05, 2026-06, 2026-07). Add a new dated column each month to grow the trend. Deltas and colors update automatically.</t>
  </si>
  <si>
    <t>Where each number comes from (all free tools):</t>
  </si>
  <si>
    <t xml:space="preserve">  - Google Search Console (GSC) &gt; Performance: impressions, clicks, CTR, avg position, and the Top 3/10/100 keyword counts (tracked set).</t>
  </si>
  <si>
    <t xml:space="preserve">  - GSC &gt; Pages (Indexing): indexed page count and coverage errors.</t>
  </si>
  <si>
    <t xml:space="preserve">  - GSC &gt; Core Web Vitals: Pass / Needs work / Fail.</t>
  </si>
  <si>
    <t xml:space="preserve">  - Google Business Profile (GBP) &gt; Performance: calls, direction requests, website clicks, profile views (the local conversion signals).</t>
  </si>
  <si>
    <t>'Cluster KPIs' needs no input - it rolls up automatically from the Keyword Master columns you already maintain (Clicks/Impressions/Position by cluster).</t>
  </si>
  <si>
    <t>'Tracking Log Template' is the per-keyword drill-down beneath the dashboard - log individual keyword movement there when you want detail.</t>
  </si>
  <si>
    <t>Read the tiers top-down: impressions rise -&gt; rankings improve -&gt; clicks grow -&gt; GBP actions follow. If impressions are up but clicks flat, it's a title/CTR issue; if clicks up but GBP actions flat, it's an intent/match issue.</t>
  </si>
  <si>
    <t>How to find Top 3, 10, 100 keyword counts?</t>
  </si>
  <si>
    <t>1. Open Performance → Search results.</t>
  </si>
  <si>
    <t>2. Click the Date chip (top) → Custom → set the month (e.g., May 1 – May 31) → Apply.</t>
  </si>
  <si>
    <t>3. At the top you'll see four cards: Total clicks · Total impressions · Average CTR · Average position. Click the "Average position" card so it turns blue/active. This adds a Position column to the table below. (It's off by default — this is the step most people miss.)</t>
  </si>
  <si>
    <t>4. Below the cards, the QUERIES tab is already selected. This lists every search term you appeared for, with its average Position.</t>
  </si>
  <si>
    <t>HavenInLipa - SEO KPI Dashboard</t>
  </si>
  <si>
    <t>Monthly performance tracking - paste ~15 numbers once a month; deltas auto-calc. Keyword-level history lives in 'Tracking Log Template'.</t>
  </si>
  <si>
    <t>KPI</t>
  </si>
  <si>
    <t>Source / How to pull</t>
  </si>
  <si>
    <t>2026-04</t>
  </si>
  <si>
    <t>2026-05</t>
  </si>
  <si>
    <t>2026-06</t>
  </si>
  <si>
    <t>2026-07</t>
  </si>
  <si>
    <t>Latest Δ</t>
  </si>
  <si>
    <t>Leading Indicators (move first, ~2-8 weeks)</t>
  </si>
  <si>
    <t>Keywords in Top 3</t>
  </si>
  <si>
    <t>GSC &gt; Performance &gt; Queries; count position &lt;= 3 (tracked set)  (higher is better)</t>
  </si>
  <si>
    <t>Keywords in Top 10</t>
  </si>
  <si>
    <t>GSC &gt; Performance &gt; Queries; count position &lt;= 10  (higher is better)</t>
  </si>
  <si>
    <t>Keywords in Top 100</t>
  </si>
  <si>
    <t>GSC &gt; Performance &gt; Queries; count position &lt;= 100  (higher is better)</t>
  </si>
  <si>
    <t>Total Impressions (28d)</t>
  </si>
  <si>
    <t>GSC &gt; Performance &gt; last 28 days &gt; Total impressions  (higher is better)</t>
  </si>
  <si>
    <t>Indexed Pages</t>
  </si>
  <si>
    <t>GSC &gt; Pages (Indexing) &gt; Indexed count (or Page Indexing Tracker)  (higher is better)</t>
  </si>
  <si>
    <t>Traffic &amp; Engagement (~1-4 months)</t>
  </si>
  <si>
    <t>Non-branded Organic Clicks</t>
  </si>
  <si>
    <t>GSC &gt; Performance &gt; add 'Queries not containing' brand filter &gt; Clicks  (higher is better)</t>
  </si>
  <si>
    <t>Total Organic Clicks (28d)</t>
  </si>
  <si>
    <t>GSC &gt; Performance &gt; last 28 days &gt; Total clicks (higher is better)</t>
  </si>
  <si>
    <t>Organic CTR %</t>
  </si>
  <si>
    <t>GSC &gt; Performance &gt; Average CTR (higher is better)</t>
  </si>
  <si>
    <t>Average Position</t>
  </si>
  <si>
    <t>GSC &gt; Performance &gt; Average position (lower is better)</t>
  </si>
  <si>
    <t>Local / Conversion - Google Business Profile</t>
  </si>
  <si>
    <t>GBP Calls</t>
  </si>
  <si>
    <t>GBP &gt; Performance &gt; Calls (monthly) (higher is better)</t>
  </si>
  <si>
    <t>GBP Direction Requests</t>
  </si>
  <si>
    <t>GBP &gt; Performance &gt; Directions (higher is better)</t>
  </si>
  <si>
    <t>GBP Website Clicks</t>
  </si>
  <si>
    <t>GBP &gt; Performance &gt; Website clicks (higher is better)</t>
  </si>
  <si>
    <t>GBP Profile Views</t>
  </si>
  <si>
    <t>GBP &gt; Performance &gt; Views (search + maps) (higher is better)</t>
  </si>
  <si>
    <t>Guardrails (regressions here silently kill the rest)</t>
  </si>
  <si>
    <t>Core Web Vitals (Pass/Fail)</t>
  </si>
  <si>
    <t>GSC &gt; Core Web Vitals; enter Pass / Needs work / Fail</t>
  </si>
  <si>
    <t>Needs work</t>
  </si>
  <si>
    <t>Pass</t>
  </si>
  <si>
    <t>Index Coverage Errors</t>
  </si>
  <si>
    <t>GSC &gt; Pages (Indexing) &gt; error count (lower is better)</t>
  </si>
  <si>
    <t>Conversion Outcomes (GA4) - the numbers that prove ROI</t>
  </si>
  <si>
    <t>Organic Conversions (bookings + inquiries)</t>
  </si>
  <si>
    <t>GA4 &gt; Key events (booking_confirmed + generate_lead), Organic segment (see Conversion Fix #3). Enter monthly.</t>
  </si>
  <si>
    <t>Organic Conversion Rate</t>
  </si>
  <si>
    <t>Latest Δ = most recent month minus prior month. Green = improving, red = worsening (direction-aware: for Average Position and Index Coverage Errors, lower is better). Compare year-over-year too, to control for seasonality.  Organic Conversion Rate = conversions / organic clicks; it auto-computes once you enter Organic Conversions (fill after GA4 tracking is live - Conversion Fix #3).</t>
  </si>
  <si>
    <t>Cluster KPIs - auto-rollup from Keyword Master</t>
  </si>
  <si>
    <t>100% formula-driven. Reflects the latest 28-day snapshot pasted into Keyword Master - no manual entry here.</t>
  </si>
  <si>
    <t>Avg Position</t>
  </si>
  <si>
    <t># Keywords</t>
  </si>
  <si>
    <t># in Top 10</t>
  </si>
  <si>
    <t>TOTAL / All clusters</t>
  </si>
  <si>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</si>
  <si>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</si>
  <si>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</si>
  <si>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</si>
  <si>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</si>
  <si>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</si>
  <si>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</si>
  <si>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</si>
  <si>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</si>
  <si>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</si>
  <si>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</si>
  <si>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</si>
  <si>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</si>
  <si>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</si>
  <si>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</si>
  <si>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</si>
  <si>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</si>
  <si>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</si>
  <si>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</si>
  <si>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</si>
  <si>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</si>
  <si>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</si>
  <si>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</si>
  <si>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</si>
  <si>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</si>
  <si>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</si>
  <si>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</si>
  <si>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</si>
  <si>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</si>
  <si>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</si>
  <si>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</si>
  <si>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</si>
  <si>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</si>
  <si>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</si>
  <si>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</si>
  <si>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</si>
  <si>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</si>
  <si>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On-page element</t>
  </si>
  <si>
    <t>Which keyword</t>
  </si>
  <si>
    <t>Yoast Focus Keyphrase</t>
  </si>
  <si>
    <t>The primary (Yoast only allows one focus keyphrase)</t>
  </si>
  <si>
    <t>Title tag</t>
  </si>
  <si>
    <t>Primary — near the front</t>
  </si>
  <si>
    <t>H1</t>
  </si>
  <si>
    <t>URL slug</t>
  </si>
  <si>
    <t>Primary (but never change a slug on an already-published page — it breaks the URL)</t>
  </si>
  <si>
    <t>First ~100 words</t>
  </si>
  <si>
    <t>H2 headings</t>
  </si>
  <si>
    <t>Primary in one H2; secondaries in other H2s</t>
  </si>
  <si>
    <t>Image alt text</t>
  </si>
  <si>
    <t>Primary on the featured image; secondaries on other images</t>
  </si>
  <si>
    <t>Meta description</t>
  </si>
  <si>
    <t>Primary + one secondary, written to earn the click</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</si>
  <si>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</si>
  <si>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</si>
  <si>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</si>
  <si>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</si>
  <si>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</si>
  <si>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</si>
  <si>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</si>
  <si>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</si>
  <si>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</si>
  <si>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</si>
  <si>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</si>
  <si>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</si>
  <si>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</si>
  <si>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(live, indexed)</t>
  </si>
  <si>
    <t>LIVE + indexed (confirmed 2026-07-04). Monitor position; build long-tail internal links.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</si>
  <si>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</si>
  <si>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</si>
  <si>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</si>
  <si>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</si>
  <si>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</si>
  <si>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</si>
  <si>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</si>
  <si>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</si>
  <si>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</si>
  <si>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</si>
  <si>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DONE — 3 config pages live (sleeps 7/11/15, real photos, schema). Next: internal links from #11/#14 + finish launch-post wiring; monitor GSC.</t>
  </si>
  <si>
    <t>9</t>
  </si>
  <si>
    <t>Article #13</t>
  </si>
  <si>
    <t>Property live. Monitor brand SERP weekly; consider Google Ads brand-protect.</t>
  </si>
  <si>
    <t>10</t>
  </si>
  <si>
    <t>Homepage</t>
  </si>
  <si>
    <t>Brand SERP - confirm site shows for this query; if not, GSC -&gt; Request indexing for homepage.</t>
  </si>
  <si>
    <t>— CONVERSION PRIORITIES (added 2026-07-04, delta run 070426) —</t>
  </si>
  <si>
    <t>C1</t>
  </si>
  <si>
    <t>property page reviews</t>
  </si>
  <si>
    <t>All property pages</t>
  </si>
  <si>
    <t>✅ EXPANDED (verified 2026-08-09): Mickey reviews now 3/4/3 (was 1/2/1). Remaining: per-review star ratings + aggregate line + Review/AggregateRating schema; add reviews to 1BR/2BR.</t>
  </si>
  <si>
    <t>C2</t>
  </si>
  <si>
    <t>blog to booking funnel</t>
  </si>
  <si>
    <t>Top articles #1/#11/#12/#14</t>
  </si>
  <si>
    <t>✅ DONE (verified 2026-08-09): CTAs extended to pre-June evergreens #1/#3/#7 (after-intro callout + 5-property box; #1 used the drafted copy). Remaining: #5/#10; a couple mid-article 'Where to Stay' mentions still 1BR/2BR-only.</t>
  </si>
  <si>
    <t>C3</t>
  </si>
  <si>
    <t>conversion tracking</t>
  </si>
  <si>
    <t>Site-wide (GA4)</t>
  </si>
  <si>
    <t>✅ SHIPPED (verified 2026-08-09): GA4 G-2SV2PXYB7T live on both domains; check_availability data-hooks in HTML. TODO: confirm booking_confirmed/book_click in GA4 DebugView + mark key events; finish generate_lead.</t>
  </si>
  <si>
    <t>C4</t>
  </si>
  <si>
    <t>email capture / lead magnet</t>
  </si>
  <si>
    <t>Blog</t>
  </si>
  <si>
    <t>Add 'Lipa Weekend Planner' lead magnet + capture forms + 4-email nurture (Fix #4).</t>
  </si>
  <si>
    <t>C5</t>
  </si>
  <si>
    <t>booking friction (4 fixes)</t>
  </si>
  <si>
    <t>Property pages / cards</t>
  </si>
  <si>
    <t>✅ DONE (verified 2026-08-09): cards 'Check Availability' (0 'View Details'); itemized DB fees ('covers N', extra-guest, 'no hidden fees'); sticky booking CTA. Deposit/partial intentionally excluded. Check: remaining 'Additional charge' strings are itemized not vague.</t>
  </si>
  <si>
    <t>URL</t>
  </si>
  <si>
    <t>Page Type</t>
  </si>
  <si>
    <t>Linked Cluster / Keywords</t>
  </si>
  <si>
    <t>Indexing Status</t>
  </si>
  <si>
    <t>Last Crawled (GSC)</t>
  </si>
  <si>
    <t>Last Checked (you)</t>
  </si>
  <si>
    <t>Action Needed</t>
  </si>
  <si>
    <t>Brand SERP + Cluster 1 transactional</t>
  </si>
  <si>
    <t>Indexed</t>
  </si>
  <si>
    <t>2026-06-24</t>
  </si>
  <si>
    <t>2026-07-04</t>
  </si>
  <si>
    <t>Monitor weekly for brand term ranking</t>
  </si>
  <si>
    <t>Verified indexed (GSC May 18, 2026). Brand SERP + Cluster 1.</t>
  </si>
  <si>
    <t>https://www.haveninlipa.com/</t>
  </si>
  <si>
    <t>Homepage (www)</t>
  </si>
  <si>
    <t>Same as apex</t>
  </si>
  <si>
    <t>Not indexed – canonicalized</t>
  </si>
  <si>
    <t>2026-04-18</t>
  </si>
  <si>
    <t>2026-06-02</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</si>
  <si>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</si>
  <si>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</si>
  <si>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</si>
  <si>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</si>
  <si>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</si>
  <si>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2026-06-26</t>
  </si>
  <si>
    <t>Expand to 1,500+ words per May 8 strategy report</t>
  </si>
  <si>
    <t>Verified indexed (GSC May 17, 2026).</t>
  </si>
  <si>
    <t>https://haveninlipa.com/properties/cozy-1-bedroom</t>
  </si>
  <si>
    <t>Cluster 1 (transactional) + couple keywords</t>
  </si>
  <si>
    <t>Expand to 1,500+ words; feature 1BR for couples</t>
  </si>
  <si>
    <t>https://haveninlipa.com/about</t>
  </si>
  <si>
    <t>About page</t>
  </si>
  <si>
    <t>Brand SERP</t>
  </si>
  <si>
    <t>2026-05-17</t>
  </si>
  <si>
    <t>Add author credentials and local Lipa story for E-E-A-T</t>
  </si>
  <si>
    <t>https://haveninlipa.com/faq</t>
  </si>
  <si>
    <t>FAQ page</t>
  </si>
  <si>
    <t>Brand SERP + multiple long-tail</t>
  </si>
  <si>
    <t>Add FAQ schema markup for rich results</t>
  </si>
  <si>
    <t>Verified indexed (GSC May 8, 2026)</t>
  </si>
  <si>
    <t>https://haveninlipa.com/privacy</t>
  </si>
  <si>
    <t>Legal</t>
  </si>
  <si>
    <t>N/A</t>
  </si>
  <si>
    <t>No action needed</t>
  </si>
  <si>
    <t>https://haveninlipa.com/terms</t>
  </si>
  <si>
    <t>2026-05-08</t>
  </si>
  <si>
    <t>https://blog.haveninlipa.com/</t>
  </si>
  <si>
    <t>Blog index</t>
  </si>
  <si>
    <t>All blog clusters</t>
  </si>
  <si>
    <t>2026-06-25</t>
  </si>
  <si>
    <t>Ensure latest article is featured at top; sticky 'Book Direct' CTA</t>
  </si>
  <si>
    <t>https://blog.haveninlipa.com/category/booking-tips/</t>
  </si>
  <si>
    <t>Blog category</t>
  </si>
  <si>
    <t>Cluster 5 (direct booking)</t>
  </si>
  <si>
    <t>noindexed</t>
  </si>
  <si>
    <t>2026-04-30</t>
  </si>
  <si>
    <t>Add intro copy to category page (currently thin)</t>
  </si>
  <si>
    <t>Verified indexed (GSC Apr 30, 2026)</t>
  </si>
  <si>
    <t>Blog article #8</t>
  </si>
  <si>
    <t>2026-05-06</t>
  </si>
  <si>
    <t>Evergreen reframe DONE (live, index,follow, in sitemap). Re-promote ~Feb 2027 for Holy Week.</t>
  </si>
  <si>
    <t>Confirmed live 200 + in post-sitemap 2026-06-18. Was 404 mid-June; restored as evergreen.</t>
  </si>
  <si>
    <t>Blog article #1</t>
  </si>
  <si>
    <t>Cluster 2 (things to do)</t>
  </si>
  <si>
    <t>None — confirmed indexed (GSC). Monitor weekly.</t>
  </si>
  <si>
    <t>Targets: things to do in lipa city, lipa city tourist spots, lipa batangas attractions. URL synced to live slug 2026-06-02.</t>
  </si>
  <si>
    <t>Blog article #3</t>
  </si>
  <si>
    <t>Cluster 3 (weekend getaway)</t>
  </si>
  <si>
    <t>2026-06-29</t>
  </si>
  <si>
    <t>Targets: weekend getaway near manila. URL synced to live slug 2026-06-02.</t>
  </si>
  <si>
    <t>Blog article #4</t>
  </si>
  <si>
    <t>Cluster 2 (informational)</t>
  </si>
  <si>
    <t>Targets: mt maculot hiking guide. URL synced to live slug 2026-06-02.</t>
  </si>
  <si>
    <t>Blog article #5</t>
  </si>
  <si>
    <t>Cluster 4 (food/travel planning)</t>
  </si>
  <si>
    <t>Targets: best restaurants in lipa, lipa city food trip. URL synced to live slug 2026-06-02.</t>
  </si>
  <si>
    <t>Blog article #6</t>
  </si>
  <si>
    <t>Cluster 5 (direct booking) - HIGH priority</t>
  </si>
  <si>
    <t>2026-05-19</t>
  </si>
  <si>
    <t>Targets: book direct vs airbnb, save on vacation rental fees, airbnb alternative lipa. URL synced to live slug 2026-06-02.</t>
  </si>
  <si>
    <t>Blog article #7</t>
  </si>
  <si>
    <t>Cluster 2 (day trip)</t>
  </si>
  <si>
    <t>Targets: taal volcano day trip from lipa. URL synced to live slug 2026-06-02.</t>
  </si>
  <si>
    <t>Blog article #9</t>
  </si>
  <si>
    <t>Cluster 3 (remote work)</t>
  </si>
  <si>
    <t>Targets: remote work staycation philippines, work from lipa. URL synced to live slug 2026-06-02.</t>
  </si>
  <si>
    <t>Blog article #10</t>
  </si>
  <si>
    <t>Cluster 4 (logistics)</t>
  </si>
  <si>
    <t>2026-06-28</t>
  </si>
  <si>
    <t>Indexed ✓ (GSC 2026-06-28) — monitor.</t>
  </si>
  <si>
    <t>Targets: how to get to lipa from manila, lipa city travel guide. Was reported 404; confirmed live + indexed 2026-06-02. | Confirmed indexed (GSC crawl 2026-06-28); verified 2026-07-04.</t>
  </si>
  <si>
    <t>Blog article #11</t>
  </si>
  <si>
    <t>Cluster 3 (family) - HIGH priority</t>
  </si>
  <si>
    <t>Confirm indexed in next GSC pull.</t>
  </si>
  <si>
    <t>Live slug confirmed 2026-06-18 (family-staycation-lipa-city-batangas). In sitemap.</t>
  </si>
  <si>
    <t>Blog article #12</t>
  </si>
  <si>
    <t>Cluster 3 (couples) - HIGH priority</t>
  </si>
  <si>
    <t>Live slug confirmed 2026-06-18 (romantic-getaway-batangas-lipa-city). In sitemap.</t>
  </si>
  <si>
    <t>Blog article #13</t>
  </si>
  <si>
    <t>Cluster 6 (Mickey in Lipa launch)</t>
  </si>
  <si>
    <t>Now a LAUNCH post (top update + links to 3 live config pages). Real photos live. Slug: mickey-in-lipa-coming-soon.</t>
  </si>
  <si>
    <t>Blog article #14</t>
  </si>
  <si>
    <t>Cluster 3 (family) - NEW</t>
  </si>
  <si>
    <t>Indexed ✓ (GSC 2026-06-25) — monitor.</t>
  </si>
  <si>
    <t>Targets: family weekend batangas, weekend near manila with family, batangas without beach crowds, lipa family itinerary. Live slug unconfirmed. | Confirmed indexed (GSC crawl 2026-06-25); verified 2026-07-04.</t>
  </si>
  <si>
    <t>https://haveninlipa.com/properties/mickey-in-lipa--family-staycation--sleeps-7</t>
  </si>
  <si>
    <t>Property page (Mickey)</t>
  </si>
  <si>
    <t>Cluster 6 / Cluster 1 — Mickey sleeps 7</t>
  </si>
  <si>
    <t>Mickey sleeps up to 7 (rate covers 5). ₱2,400/night, real photos. Live 2026-06-18. | Confirmed indexed (GSC crawl 2026-06-25); verified 2026-07-04.</t>
  </si>
  <si>
    <t>(TBD) https://blog.haveninlipa.com/barkada-group-trip-lipa/</t>
  </si>
  <si>
    <t>Future article (Tier C)</t>
  </si>
  <si>
    <t>Cluster 3 (barkada)</t>
  </si>
  <si>
    <t>Page Not Published</t>
  </si>
  <si>
    <t>Write and publish during Tier C window (June 2026)</t>
  </si>
  <si>
    <t>Targets: barkada group trip lipa</t>
  </si>
  <si>
    <t>(TBD) https://blog.haveninlipa.com/summer-in-lipa-2026/</t>
  </si>
  <si>
    <t>Future seasonal LP</t>
  </si>
  <si>
    <t>Cluster 3 (seasonal)</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</si>
  <si>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</si>
  <si>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</si>
  <si>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</si>
  <si>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</si>
  <si>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</si>
  <si>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</si>
  <si>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</si>
  <si>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</si>
  <si>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</si>
  <si>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</si>
  <si>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</si>
  <si>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</si>
  <si>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</si>
  <si>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</si>
  <si>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</si>
  <si>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</si>
  <si>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</si>
  <si>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2026-05-18</t>
  </si>
  <si>
    <t>Add noindex,follow to /tag/ archives (low-priority cleanup; thin pages).</t>
  </si>
  <si>
    <t>noindex,follow CONFIRMED LIVE in raw HTML 2026-07-04 — pending drop from index on next Google crawl. (/tag/barako-coffee/)</t>
  </si>
  <si>
    <t>https://blog.haveninlipa.com/tag/batangas/</t>
  </si>
  <si>
    <t>Thin / none</t>
  </si>
  <si>
    <t>noindex,follow re-confirmed live in raw HTML 2026-07-04 — pending drop on next crawl.</t>
  </si>
  <si>
    <t>https://blog.haveninlipa.com/tag/airbnb/</t>
  </si>
  <si>
    <t>noindex,follow CONFIRMED LIVE in raw HTML 2026-07-04 — pending drop from index on next Google crawl. (/tag/airbnb/)</t>
  </si>
  <si>
    <t>https://blog.haveninlipa.com/author/cassandrakim/</t>
  </si>
  <si>
    <t>Author archive</t>
  </si>
  <si>
    <t>E-E-A-T author signal</t>
  </si>
  <si>
    <t>Add noindex,follow to /author/ archives (thin) OR build out author bio for E-E-A-T.</t>
  </si>
  <si>
    <t>noindex,follow CONFIRMED LIVE in raw HTML 2026-07-04 — pending drop from index on next Google crawl. (/author/cassandrakim/)</t>
  </si>
  <si>
    <t>Blog article #15</t>
  </si>
  <si>
    <t>Cluster 3 (seasonal/holiday)</t>
  </si>
  <si>
    <t>2026-06-18</t>
  </si>
  <si>
    <t>Indexed ✓ (GSC 2026-06-18) — monitor.</t>
  </si>
  <si>
    <t>Published Mon Jun 8 2026. Live + in sitemap 2026-06-18. | Confirmed indexed (GSC crawl 2026-06-18); verified 2026-07-04.</t>
  </si>
  <si>
    <t>Blog article #16</t>
  </si>
  <si>
    <t>Cluster 2 (rainy-day things to do)</t>
  </si>
  <si>
    <t>Not Indexed - Requested</t>
  </si>
  <si>
    <t>Published Mon Jun 15 2026. Live slug: indoor-things-to-do-in-lipa-city-when-it-rains. In sitemap.</t>
  </si>
  <si>
    <t>https://blog.haveninlipa.com/lipa-barako-coffee-heritage/</t>
  </si>
  <si>
    <t>Blog article #17</t>
  </si>
  <si>
    <t>Cluster 2 (heritage)</t>
  </si>
  <si>
    <t>2026-06-22</t>
  </si>
  <si>
    <t>Indexed ✓ (GSC 2026-06-22) — monitor.</t>
  </si>
  <si>
    <t>Primary target: lipa barako coffee. Drafted in 050826/; blogger guide embedded. | Confirmed indexed (GSC crawl 2026-06-22); verified 2026-07-04. Live slug is /lipa-barako-coffee-heritage/ (shorter than planned; slug drift corrected).</t>
  </si>
  <si>
    <t>Blog article #18</t>
  </si>
  <si>
    <t>Cluster 4 (food)</t>
  </si>
  <si>
    <t>Live – verify GSC</t>
  </si>
  <si>
    <t>Request indexing in GSC; confirm in next pull.</t>
  </si>
  <si>
    <t>Published Mon Jun 29 2026. Delta 2026-07-04: confirmed live 200 + index,follow + Article schema + in post-sitemap. SLUG DRIFT CORRECTED: planned best-lomi-lipa-city-local-guide -&gt; live best-lomi-lipa-city.</t>
  </si>
  <si>
    <t>Blog article #19</t>
  </si>
  <si>
    <t>Publish Mon Jul 6, 2026 (7:00 AM PHT); request indexing in GSC after publish.</t>
  </si>
  <si>
    <t>Primary target: work from lipa. Drafted in 050826/; blogger guide embedded.</t>
  </si>
  <si>
    <t>Blog article #20</t>
  </si>
  <si>
    <t>Cluster 3 (comparison)</t>
  </si>
  <si>
    <t>Publish Mon Jul 13, 2026 (7:00 AM PHT); request indexing in GSC after publish.</t>
  </si>
  <si>
    <t>Primary target: lipa vs tagaytay. Drafted in 050826/; blogger guide embedded.</t>
  </si>
  <si>
    <t>Blog article #21</t>
  </si>
  <si>
    <t>Publish Mon Jul 20, 2026 (7:00 AM PHT); request indexing in GSC after publish.</t>
  </si>
  <si>
    <t>Primary target: casa de segunda lipa. Drafted in 050826/; blogger guide embedded.</t>
  </si>
  <si>
    <t>Blog article #22</t>
  </si>
  <si>
    <t>Cluster 2 (pilgrimage)</t>
  </si>
  <si>
    <t>Publish Mon Jul 27, 2026 (7:00 AM PHT); request indexing in GSC after publish.</t>
  </si>
  <si>
    <t>Primary target: carmel of lipa. Drafted in 050826/; blogger guide embedded.</t>
  </si>
  <si>
    <t>Blog article #23</t>
  </si>
  <si>
    <t>Cluster 3 (seasonal hub)</t>
  </si>
  <si>
    <t>Publish Mon Aug 3, 2026 (7:00 AM PHT); request indexing in GSC after publish.</t>
  </si>
  <si>
    <t>Primary target: august long weekend lipa 2026. Drafted in 050826/; blogger guide embedded.</t>
  </si>
  <si>
    <t>Blog article #24</t>
  </si>
  <si>
    <t>Cluster 2 (history)</t>
  </si>
  <si>
    <t>Publish Mon Aug 10, 2026 (7:00 AM PHT); request indexing in GSC after publish.</t>
  </si>
  <si>
    <t>Primary target: lipa charter day. Drafted in 050826/; blogger guide embedded.</t>
  </si>
  <si>
    <t>Blog article #25</t>
  </si>
  <si>
    <t>Publish Mon Aug 17, 2026 (7:00 AM PHT); request indexing in GSC after publish.</t>
  </si>
  <si>
    <t>Primary target: ninoy aquino day long weekend 2026. Drafted in 050826/; blogger guide embedded.</t>
  </si>
  <si>
    <t>Blog article #26</t>
  </si>
  <si>
    <t>Publish Mon Aug 24, 2026 (7:00 AM PHT); request indexing in GSC after publish.</t>
  </si>
  <si>
    <t>Primary target: national heroes day weekend lipa 2026. Drafted in 050826/; blogger guide embedded.</t>
  </si>
  <si>
    <t>Cluster 6 / Cluster 1 — Mickey sleeps 11</t>
  </si>
  <si>
    <t>Mickey sleeps up to 11 (rate covers 9). ₱4,200/night, real photos. Live 2026-06-18. | Confirmed indexed (GSC crawl 2026-06-25); verified 2026-07-04.</t>
  </si>
  <si>
    <t>Cluster 6 / Cluster 1 — Mickey sleeps 15</t>
  </si>
  <si>
    <t>Indexed ✓ (GSC 2026-06-26) — monitor.</t>
  </si>
  <si>
    <t>Mickey sleeps up to 15 (rate covers 13). ₱7,000/night, real photos. Live 2026-06-18. | Confirmed indexed (GSC crawl 2026-06-26); verified 2026-07-04.</t>
  </si>
  <si>
    <t>https://haveninlipa.com/properties/mickey-in-lipa--full-family-house--sleeps-15/book</t>
  </si>
  <si>
    <t>Booking form (Mickey sleeps-15)</t>
  </si>
  <si>
    <t>Cluster 1/6 transactional (booking endpoint)</t>
  </si>
  <si>
    <t>noindex – pending drop</t>
  </si>
  <si>
    <t>2026-06-23</t>
  </si>
  <si>
    <t>noindex applied — GSC recrawl requested; monitor Coverage for drop.</t>
  </si>
  <si>
    <t>FIXED 2026-07-04: dev shipped noindex,follow + self-referential canonical + unique title (was homepage canonical/title). Verified raw HTML. GSC recrawl requested to force drop.</t>
  </si>
  <si>
    <t>https://haveninlipa.com/properties/mickey-in-lipa--family-staycation--sleeps-7/book</t>
  </si>
  <si>
    <t>Booking form (Mickey sleeps-7)</t>
  </si>
  <si>
    <t>2026-06-15</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</si>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</sst>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0%"/>
    <numFmt numFmtId="166" formatCode="0.0"/>
  </numFmts>
  <fonts count="38"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u/>
      <sz val="11"/>
      <color theme="10"/>
      <name val="Calibri"/>
      <family val="2"/>
      <scheme val="minor"/>
    </font>
    <font>
      <b/>
      <sz val="16"/>
      <color rgb="FFFF5371"/>
      <name val="Calibri"/>
      <family val="2"/>
    </font>
    <font>
      <b/>
      <i/>
      <sz val="11"/>
      <color rgb="FF3B5323"/>
      <name val="Calibri"/>
      <family val="2"/>
    </font>
    <font>
      <b/>
      <sz val="11"/>
      <color rgb="FFFFFFFF"/>
      <name val="Calibri"/>
      <family val="2"/>
    </font>
    <font>
      <b/>
      <sz val="10"/>
      <color rgb="FFFFFFFF"/>
      <name val="Calibri"/>
      <family val="2"/>
    </font>
    <font>
      <b/>
      <sz val="10"/>
      <color rgb="FF2C2C2C"/>
      <name val="Calibri"/>
      <family val="2"/>
    </font>
    <font>
      <sz val="10"/>
      <color rgb="FF666666"/>
      <name val="Calibri"/>
      <family val="2"/>
    </font>
    <font>
      <sz val="10"/>
      <color rgb="FF2C2C2C"/>
      <name val="Calibri"/>
      <family val="2"/>
    </font>
    <font>
      <b/>
      <sz val="10"/>
      <color rgb="FF2C2C2C"/>
      <name val="Calibri"/>
      <family val="2"/>
    </font>
    <font>
      <sz val="10"/>
      <color rgb="FF2C2C2C"/>
      <name val="Calibri"/>
      <family val="2"/>
    </font>
    <font>
      <b/>
      <sz val="10"/>
      <color theme="1"/>
      <name val="Calibri"/>
      <family val="2"/>
    </font>
    <font>
      <b/>
      <sz val="10"/>
      <color rgb="FFFFFFFF"/>
      <name val="Calibri"/>
      <family val="2"/>
    </font>
    <font>
      <b/>
      <sz val="10"/>
      <color rgb="FF2C2C2C"/>
      <name val="Calibri"/>
      <family val="2"/>
    </font>
    <font>
      <sz val="10"/>
      <color rgb="FF2C2C2C"/>
      <name val="Calibri"/>
      <family val="2"/>
    </font>
    <font>
      <i/>
      <sz val="9"/>
      <color rgb="FF888888"/>
      <name val="Calibri"/>
      <family val="2"/>
    </font>
  </fonts>
  <fills count="24">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
      <patternFill patternType="solid">
        <fgColor rgb="FF3B5323"/>
      </patternFill>
    </fill>
    <fill>
      <patternFill patternType="solid">
        <fgColor rgb="FFE8EFE0"/>
      </patternFill>
    </fill>
    <fill>
      <patternFill patternType="solid">
        <fgColor rgb="FFFFFFFF"/>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43" fontId="22" fillId="0" borderId="0"/>
    <xf numFmtId="0" fontId="23" fillId="0" borderId="0"/>
  </cellStyleXfs>
  <cellXfs count="104">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3" borderId="1" xfId="0" applyNumberFormat="1"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5" borderId="2" xfId="0" applyFont="1" applyFill="1" applyBorder="1" applyAlignment="1">
      <alignment horizontal="center" vertical="center"/>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5"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xf numFmtId="0" fontId="23" fillId="13" borderId="2" xfId="2" applyFill="1" applyBorder="1" applyAlignment="1">
      <alignment horizontal="left" vertical="center" wrapText="1"/>
    </xf>
    <xf numFmtId="0" fontId="23" fillId="11" borderId="2" xfId="2" applyFill="1" applyBorder="1" applyAlignment="1">
      <alignment horizontal="left" vertical="center" wrapText="1"/>
    </xf>
    <xf numFmtId="0" fontId="23" fillId="0" borderId="0" xfId="2"/>
    <xf numFmtId="0" fontId="25" fillId="0" borderId="0" xfId="0" applyFont="1" applyAlignment="1">
      <alignment horizontal="left" vertical="center"/>
    </xf>
    <xf numFmtId="0" fontId="30" fillId="0" borderId="0" xfId="0" applyFont="1" applyAlignment="1">
      <alignment horizontal="left" vertical="top" wrapText="1"/>
    </xf>
    <xf numFmtId="0" fontId="24" fillId="0" borderId="0" xfId="0" applyFont="1" applyAlignment="1">
      <alignment horizontal="left" vertical="center"/>
    </xf>
    <xf numFmtId="0" fontId="26" fillId="16" borderId="3" xfId="0" applyFont="1" applyFill="1" applyBorder="1" applyAlignment="1">
      <alignment horizontal="center" vertical="center" wrapText="1"/>
    </xf>
    <xf numFmtId="0" fontId="27" fillId="16" borderId="3" xfId="0" applyFont="1" applyFill="1" applyBorder="1" applyAlignment="1">
      <alignment horizontal="left" vertical="center" wrapText="1"/>
    </xf>
    <xf numFmtId="0" fontId="28" fillId="17" borderId="3" xfId="0" applyFont="1" applyFill="1" applyBorder="1" applyAlignment="1">
      <alignment horizontal="left" vertical="center" wrapText="1"/>
    </xf>
    <xf numFmtId="0" fontId="29" fillId="17" borderId="3" xfId="0" applyFont="1" applyFill="1" applyBorder="1" applyAlignment="1">
      <alignment horizontal="left" vertical="center" wrapText="1"/>
    </xf>
    <xf numFmtId="1" fontId="30" fillId="17" borderId="3" xfId="0" applyNumberFormat="1" applyFont="1" applyFill="1" applyBorder="1" applyAlignment="1">
      <alignment horizontal="center" vertical="center" wrapText="1"/>
    </xf>
    <xf numFmtId="0" fontId="28" fillId="18" borderId="3" xfId="0" applyFont="1" applyFill="1" applyBorder="1" applyAlignment="1">
      <alignment horizontal="left" vertical="center" wrapText="1"/>
    </xf>
    <xf numFmtId="0" fontId="29" fillId="18" borderId="3" xfId="0" applyFont="1" applyFill="1" applyBorder="1" applyAlignment="1">
      <alignment horizontal="left" vertical="center" wrapText="1"/>
    </xf>
    <xf numFmtId="1" fontId="30" fillId="18" borderId="3" xfId="0" applyNumberFormat="1" applyFont="1" applyFill="1" applyBorder="1" applyAlignment="1">
      <alignment horizontal="center" vertical="center" wrapText="1"/>
    </xf>
    <xf numFmtId="3" fontId="30" fillId="18" borderId="3" xfId="0" applyNumberFormat="1" applyFont="1" applyFill="1" applyBorder="1" applyAlignment="1">
      <alignment horizontal="center" vertical="center" wrapText="1"/>
    </xf>
    <xf numFmtId="3" fontId="30" fillId="17" borderId="3" xfId="0" applyNumberFormat="1" applyFont="1" applyFill="1" applyBorder="1" applyAlignment="1">
      <alignment horizontal="center" vertical="center" wrapText="1"/>
    </xf>
    <xf numFmtId="164" fontId="30" fillId="17" borderId="3" xfId="0" applyNumberFormat="1" applyFont="1" applyFill="1" applyBorder="1" applyAlignment="1">
      <alignment horizontal="center" vertical="center" wrapText="1"/>
    </xf>
    <xf numFmtId="165" fontId="30" fillId="17" borderId="3" xfId="0" applyNumberFormat="1" applyFont="1" applyFill="1" applyBorder="1" applyAlignment="1">
      <alignment horizontal="center" vertical="center" wrapText="1"/>
    </xf>
    <xf numFmtId="166" fontId="30" fillId="18" borderId="3" xfId="0" applyNumberFormat="1" applyFont="1" applyFill="1" applyBorder="1" applyAlignment="1">
      <alignment horizontal="center" vertical="center" wrapText="1"/>
    </xf>
    <xf numFmtId="0" fontId="30" fillId="17" borderId="3" xfId="0" applyFont="1" applyFill="1" applyBorder="1" applyAlignment="1">
      <alignment horizontal="center" vertical="center" wrapText="1"/>
    </xf>
    <xf numFmtId="166" fontId="30" fillId="17" borderId="3" xfId="0" applyNumberFormat="1" applyFont="1" applyFill="1" applyBorder="1" applyAlignment="1">
      <alignment horizontal="center" vertical="center" wrapText="1"/>
    </xf>
    <xf numFmtId="0" fontId="28" fillId="19" borderId="3" xfId="0" applyFont="1" applyFill="1" applyBorder="1" applyAlignment="1">
      <alignment horizontal="left" vertical="center" wrapText="1"/>
    </xf>
    <xf numFmtId="3" fontId="30" fillId="19" borderId="3" xfId="0" applyNumberFormat="1" applyFont="1" applyFill="1" applyBorder="1" applyAlignment="1">
      <alignment horizontal="center" vertical="center" wrapText="1"/>
    </xf>
    <xf numFmtId="166" fontId="30" fillId="19" borderId="3" xfId="0" applyNumberFormat="1" applyFont="1" applyFill="1" applyBorder="1" applyAlignment="1">
      <alignment horizontal="center" vertical="center" wrapText="1"/>
    </xf>
    <xf numFmtId="0" fontId="30" fillId="19" borderId="3" xfId="0" applyFont="1" applyFill="1" applyBorder="1" applyAlignment="1">
      <alignment horizontal="center" vertical="center" wrapText="1"/>
    </xf>
    <xf numFmtId="3" fontId="27" fillId="16" borderId="3" xfId="0" applyNumberFormat="1" applyFont="1" applyFill="1" applyBorder="1" applyAlignment="1">
      <alignment horizontal="center" vertical="center" wrapText="1"/>
    </xf>
    <xf numFmtId="166" fontId="27" fillId="16" borderId="3" xfId="0" applyNumberFormat="1" applyFont="1" applyFill="1" applyBorder="1" applyAlignment="1">
      <alignment horizontal="center" vertical="center" wrapText="1"/>
    </xf>
    <xf numFmtId="1" fontId="27" fillId="16" borderId="3" xfId="0" applyNumberFormat="1" applyFont="1" applyFill="1" applyBorder="1" applyAlignment="1">
      <alignment horizontal="center" vertical="center" wrapText="1"/>
    </xf>
    <xf numFmtId="0" fontId="20" fillId="0" borderId="4" xfId="0" applyFont="1" applyBorder="1"/>
    <xf numFmtId="0" fontId="19" fillId="0" borderId="4" xfId="0" applyFont="1" applyBorder="1" applyAlignment="1">
      <alignment wrapText="1"/>
    </xf>
    <xf numFmtId="0" fontId="26" fillId="2" borderId="3" xfId="0" applyFont="1" applyFill="1" applyBorder="1" applyAlignment="1">
      <alignment horizontal="center" vertical="center" wrapText="1"/>
    </xf>
    <xf numFmtId="0" fontId="31" fillId="17" borderId="3" xfId="0" applyFont="1" applyFill="1" applyBorder="1" applyAlignment="1">
      <alignment horizontal="center" vertical="center" wrapText="1"/>
    </xf>
    <xf numFmtId="0" fontId="32" fillId="18" borderId="3" xfId="0" applyFont="1" applyFill="1" applyBorder="1" applyAlignment="1">
      <alignment horizontal="center" vertical="center" wrapText="1"/>
    </xf>
    <xf numFmtId="0" fontId="32" fillId="17" borderId="3" xfId="0" applyFont="1" applyFill="1" applyBorder="1" applyAlignment="1">
      <alignment horizontal="center" vertical="center" wrapText="1"/>
    </xf>
    <xf numFmtId="0" fontId="31" fillId="18" borderId="3" xfId="0" applyFont="1" applyFill="1" applyBorder="1" applyAlignment="1">
      <alignment horizontal="center" vertical="center" wrapText="1"/>
    </xf>
    <xf numFmtId="0" fontId="7" fillId="17" borderId="3" xfId="0" applyFont="1" applyFill="1" applyBorder="1" applyAlignment="1">
      <alignment horizontal="center" vertical="center" wrapText="1"/>
    </xf>
    <xf numFmtId="0" fontId="27" fillId="12" borderId="3" xfId="0" applyFont="1" applyFill="1" applyBorder="1" applyAlignment="1">
      <alignment horizontal="center" vertical="center" wrapText="1"/>
    </xf>
    <xf numFmtId="0" fontId="32" fillId="17" borderId="3" xfId="0" applyFont="1" applyFill="1" applyBorder="1" applyAlignment="1">
      <alignment horizontal="left" vertical="center" wrapText="1"/>
    </xf>
    <xf numFmtId="0" fontId="32" fillId="19" borderId="3" xfId="0" applyFont="1" applyFill="1" applyBorder="1" applyAlignment="1">
      <alignment horizontal="left" vertical="center" wrapText="1"/>
    </xf>
    <xf numFmtId="0" fontId="33" fillId="20" borderId="2" xfId="0" applyFont="1" applyFill="1" applyBorder="1" applyAlignment="1">
      <alignment horizontal="center" vertical="center" wrapText="1"/>
    </xf>
    <xf numFmtId="10" fontId="7" fillId="5" borderId="1" xfId="0" applyNumberFormat="1" applyFont="1" applyFill="1" applyBorder="1" applyAlignment="1">
      <alignment horizontal="left" vertical="center" wrapText="1"/>
    </xf>
    <xf numFmtId="10" fontId="29" fillId="17" borderId="3" xfId="0" applyNumberFormat="1" applyFont="1" applyFill="1" applyBorder="1" applyAlignment="1">
      <alignment horizontal="left" vertical="center" wrapText="1"/>
    </xf>
    <xf numFmtId="0" fontId="6" fillId="16" borderId="3" xfId="0" applyFont="1" applyFill="1" applyBorder="1" applyAlignment="1">
      <alignment horizontal="center" vertical="center" wrapText="1"/>
    </xf>
    <xf numFmtId="0" fontId="34" fillId="21" borderId="5" xfId="0" applyFont="1" applyFill="1" applyBorder="1" applyAlignment="1">
      <alignment horizontal="left" vertical="center" wrapText="1"/>
    </xf>
    <xf numFmtId="0" fontId="35" fillId="22" borderId="5" xfId="0" applyFont="1" applyFill="1" applyBorder="1" applyAlignment="1">
      <alignment horizontal="center" vertical="center" wrapText="1"/>
    </xf>
    <xf numFmtId="0" fontId="36" fillId="22" borderId="5" xfId="0" applyFont="1" applyFill="1" applyBorder="1" applyAlignment="1">
      <alignment horizontal="left" vertical="center" wrapText="1"/>
    </xf>
    <xf numFmtId="0" fontId="35" fillId="23" borderId="5" xfId="0" applyFont="1" applyFill="1" applyBorder="1" applyAlignment="1">
      <alignment horizontal="center" vertical="center" wrapText="1"/>
    </xf>
    <xf numFmtId="0" fontId="36" fillId="23" borderId="5" xfId="0" applyFont="1" applyFill="1" applyBorder="1" applyAlignment="1">
      <alignment horizontal="left" vertical="center" wrapText="1"/>
    </xf>
    <xf numFmtId="0" fontId="31" fillId="17" borderId="3" xfId="0" applyFont="1" applyFill="1" applyBorder="1" applyAlignment="1">
      <alignment horizontal="left" vertical="center" wrapText="1"/>
    </xf>
    <xf numFmtId="3" fontId="29" fillId="17" borderId="3" xfId="0" applyNumberFormat="1" applyFont="1" applyFill="1" applyBorder="1" applyAlignment="1">
      <alignment horizontal="left" vertical="center" wrapText="1"/>
    </xf>
    <xf numFmtId="3" fontId="32" fillId="17" borderId="3" xfId="0" applyNumberFormat="1" applyFont="1" applyFill="1" applyBorder="1" applyAlignment="1">
      <alignment horizontal="center" vertical="center" wrapText="1"/>
    </xf>
    <xf numFmtId="0" fontId="31" fillId="18" borderId="3" xfId="0" applyFont="1" applyFill="1" applyBorder="1" applyAlignment="1">
      <alignment horizontal="left" vertical="center" wrapText="1"/>
    </xf>
    <xf numFmtId="164" fontId="29" fillId="18" borderId="3" xfId="0" applyNumberFormat="1" applyFont="1" applyFill="1" applyBorder="1" applyAlignment="1">
      <alignment horizontal="left" vertical="center" wrapText="1"/>
    </xf>
    <xf numFmtId="164" fontId="32" fillId="18" borderId="3" xfId="0" applyNumberFormat="1" applyFont="1" applyFill="1" applyBorder="1" applyAlignment="1">
      <alignment horizontal="center" vertical="center" wrapText="1"/>
    </xf>
    <xf numFmtId="165" fontId="32" fillId="18" borderId="3" xfId="0" applyNumberFormat="1" applyFont="1" applyFill="1" applyBorder="1" applyAlignment="1">
      <alignment horizontal="center" vertical="center" wrapText="1"/>
    </xf>
    <xf numFmtId="0" fontId="37" fillId="0" borderId="0" xfId="0" applyFont="1"/>
    <xf numFmtId="0" fontId="0" fillId="0" borderId="0" xfId="0"/>
  </cellXfs>
  <cellStyles count="3">
    <cellStyle name="Comma" xfId="1" builtinId="3"/>
    <cellStyle name="Hyperlink" xfId="2" builtinId="8"/>
    <cellStyle name="Normal" xfId="0" builtinId="0"/>
  </cellStyles>
  <dxfs count="13">
    <dxf>
      <font>
        <b/>
        <sz val="10"/>
        <color rgb="FF9C5700"/>
        <name val="Calibri"/>
      </font>
      <fill>
        <patternFill patternType="solid">
          <fgColor rgb="FFFCE4C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haveninlipa.com/properties/mickey-in-lipa--full-family-house--sleeps-15" TargetMode="External"/><Relationship Id="rId3" Type="http://schemas.openxmlformats.org/officeDocument/2006/relationships/hyperlink" Target="https://blog.haveninlipa.com/mickey-in-lipa-coming-soon/" TargetMode="External"/><Relationship Id="rId7" Type="http://schemas.openxmlformats.org/officeDocument/2006/relationships/hyperlink" Target="https://haveninlipa.com/properties/mickey-in-lipa--family-house--sleeps-11" TargetMode="External"/><Relationship Id="rId2" Type="http://schemas.openxmlformats.org/officeDocument/2006/relationships/hyperlink" Target="https://blog.haveninlipa.com/romantic-getaway-batangas-lipa-city/" TargetMode="External"/><Relationship Id="rId1" Type="http://schemas.openxmlformats.org/officeDocument/2006/relationships/hyperlink" Target="https://blog.haveninlipa.com/family-staycation-lipa-city-batangas/" TargetMode="External"/><Relationship Id="rId6" Type="http://schemas.openxmlformats.org/officeDocument/2006/relationships/hyperlink" Target="https://blog.haveninlipa.com/work-from-lipa-rainy-season-july/" TargetMode="External"/><Relationship Id="rId5" Type="http://schemas.openxmlformats.org/officeDocument/2006/relationships/hyperlink" Target="https://haveninlipa.com/properties/mickey-in-lipa--family-staycation--sleeps-7" TargetMode="External"/><Relationship Id="rId4" Type="http://schemas.openxmlformats.org/officeDocument/2006/relationships/hyperlink" Target="https://blog.haveninlipa.com/family-weekend-batangas-without-beach-crow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6"/>
  <sheetViews>
    <sheetView showGridLines="0" topLeftCell="A26" zoomScale="160" zoomScaleNormal="160" workbookViewId="0">
      <selection activeCell="B47" sqref="B47"/>
    </sheetView>
  </sheetViews>
  <sheetFormatPr baseColWidth="10" defaultColWidth="8.83203125" defaultRowHeight="15" x14ac:dyDescent="0.2"/>
  <cols>
    <col min="1" max="1" width="4" customWidth="1"/>
    <col min="2" max="2" width="110" customWidth="1"/>
  </cols>
  <sheetData>
    <row r="2" spans="2:2" ht="30" customHeight="1" x14ac:dyDescent="0.2">
      <c r="B2" s="1" t="s">
        <v>192</v>
      </c>
    </row>
    <row r="3" spans="2:2" x14ac:dyDescent="0.2">
      <c r="B3" s="2" t="s">
        <v>193</v>
      </c>
    </row>
    <row r="4" spans="2:2" x14ac:dyDescent="0.2">
      <c r="B4" s="3" t="s">
        <v>194</v>
      </c>
    </row>
    <row r="6" spans="2:2" x14ac:dyDescent="0.2">
      <c r="B6" s="4" t="s">
        <v>195</v>
      </c>
    </row>
    <row r="7" spans="2:2" ht="28" customHeight="1" x14ac:dyDescent="0.2">
      <c r="B7" s="5" t="s">
        <v>196</v>
      </c>
    </row>
    <row r="8" spans="2:2" ht="28" customHeight="1" x14ac:dyDescent="0.2">
      <c r="B8" s="5" t="s">
        <v>197</v>
      </c>
    </row>
    <row r="10" spans="2:2" x14ac:dyDescent="0.2">
      <c r="B10" s="4" t="s">
        <v>198</v>
      </c>
    </row>
    <row r="11" spans="2:2" ht="28" customHeight="1" x14ac:dyDescent="0.2">
      <c r="B11" s="5" t="s">
        <v>199</v>
      </c>
    </row>
    <row r="12" spans="2:2" ht="28" customHeight="1" x14ac:dyDescent="0.2">
      <c r="B12" s="5" t="s">
        <v>200</v>
      </c>
    </row>
    <row r="13" spans="2:2" ht="28" customHeight="1" x14ac:dyDescent="0.2">
      <c r="B13" s="5" t="s">
        <v>201</v>
      </c>
    </row>
    <row r="14" spans="2:2" ht="28" customHeight="1" x14ac:dyDescent="0.2">
      <c r="B14" s="5" t="s">
        <v>202</v>
      </c>
    </row>
    <row r="15" spans="2:2" ht="28" customHeight="1" x14ac:dyDescent="0.2">
      <c r="B15" s="5" t="s">
        <v>203</v>
      </c>
    </row>
    <row r="16" spans="2:2" ht="28" customHeight="1" x14ac:dyDescent="0.2">
      <c r="B16" s="5" t="s">
        <v>204</v>
      </c>
    </row>
    <row r="18" spans="2:2" x14ac:dyDescent="0.2">
      <c r="B18" s="4" t="s">
        <v>205</v>
      </c>
    </row>
    <row r="19" spans="2:2" ht="28" customHeight="1" x14ac:dyDescent="0.2">
      <c r="B19" s="5" t="s">
        <v>206</v>
      </c>
    </row>
    <row r="20" spans="2:2" ht="28" customHeight="1" x14ac:dyDescent="0.2">
      <c r="B20" s="5" t="s">
        <v>207</v>
      </c>
    </row>
    <row r="21" spans="2:2" ht="28" customHeight="1" x14ac:dyDescent="0.2">
      <c r="B21" s="5" t="s">
        <v>208</v>
      </c>
    </row>
    <row r="23" spans="2:2" x14ac:dyDescent="0.2">
      <c r="B23" s="4" t="s">
        <v>209</v>
      </c>
    </row>
    <row r="24" spans="2:2" ht="28" customHeight="1" x14ac:dyDescent="0.2">
      <c r="B24" s="5" t="s">
        <v>210</v>
      </c>
    </row>
    <row r="25" spans="2:2" ht="28" customHeight="1" x14ac:dyDescent="0.2">
      <c r="B25" s="5" t="s">
        <v>211</v>
      </c>
    </row>
    <row r="26" spans="2:2" ht="28" customHeight="1" x14ac:dyDescent="0.2">
      <c r="B26" s="5" t="s">
        <v>212</v>
      </c>
    </row>
    <row r="28" spans="2:2" x14ac:dyDescent="0.2">
      <c r="B28" s="50" t="s">
        <v>213</v>
      </c>
    </row>
    <row r="29" spans="2:2" ht="30" customHeight="1" x14ac:dyDescent="0.2">
      <c r="B29" s="51" t="s">
        <v>214</v>
      </c>
    </row>
    <row r="30" spans="2:2" x14ac:dyDescent="0.2">
      <c r="B30" s="51"/>
    </row>
    <row r="31" spans="2:2" x14ac:dyDescent="0.2">
      <c r="B31" s="51" t="s">
        <v>215</v>
      </c>
    </row>
    <row r="32" spans="2:2" x14ac:dyDescent="0.2">
      <c r="B32" s="51" t="s">
        <v>216</v>
      </c>
    </row>
    <row r="33" spans="2:2" x14ac:dyDescent="0.2">
      <c r="B33" s="51" t="s">
        <v>217</v>
      </c>
    </row>
    <row r="34" spans="2:2" x14ac:dyDescent="0.2">
      <c r="B34" s="51" t="s">
        <v>218</v>
      </c>
    </row>
    <row r="35" spans="2:2" x14ac:dyDescent="0.2">
      <c r="B35" s="51" t="s">
        <v>219</v>
      </c>
    </row>
    <row r="36" spans="2:2" x14ac:dyDescent="0.2">
      <c r="B36" s="51"/>
    </row>
    <row r="37" spans="2:2" x14ac:dyDescent="0.2">
      <c r="B37" s="51" t="s">
        <v>220</v>
      </c>
    </row>
    <row r="38" spans="2:2" x14ac:dyDescent="0.2">
      <c r="B38" s="51" t="s">
        <v>221</v>
      </c>
    </row>
    <row r="39" spans="2:2" x14ac:dyDescent="0.2">
      <c r="B39" s="51"/>
    </row>
    <row r="40" spans="2:2" ht="30" customHeight="1" x14ac:dyDescent="0.2">
      <c r="B40" s="51" t="s">
        <v>222</v>
      </c>
    </row>
    <row r="42" spans="2:2" x14ac:dyDescent="0.2">
      <c r="B42" s="50" t="s">
        <v>223</v>
      </c>
    </row>
    <row r="43" spans="2:2" x14ac:dyDescent="0.2">
      <c r="B43" t="s">
        <v>224</v>
      </c>
    </row>
    <row r="44" spans="2:2" x14ac:dyDescent="0.2">
      <c r="B44" t="s">
        <v>225</v>
      </c>
    </row>
    <row r="45" spans="2:2" x14ac:dyDescent="0.2">
      <c r="B45" t="s">
        <v>226</v>
      </c>
    </row>
    <row r="46" spans="2:2" x14ac:dyDescent="0.2">
      <c r="B46" t="s">
        <v>227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showGridLines="0" zoomScale="170" zoomScaleNormal="170" workbookViewId="0">
      <pane xSplit="2" ySplit="3" topLeftCell="C4" activePane="bottomRight" state="frozen"/>
      <selection pane="topRight"/>
      <selection pane="bottomLeft"/>
      <selection pane="bottomRight" activeCell="F23" sqref="F23"/>
    </sheetView>
  </sheetViews>
  <sheetFormatPr baseColWidth="10" defaultColWidth="8.83203125" defaultRowHeight="15" x14ac:dyDescent="0.2"/>
  <cols>
    <col min="1" max="1" width="34" customWidth="1"/>
    <col min="2" max="2" width="63.5" customWidth="1"/>
    <col min="3" max="3" width="12.33203125" customWidth="1"/>
    <col min="4" max="6" width="13" customWidth="1"/>
    <col min="7" max="7" width="12" customWidth="1"/>
  </cols>
  <sheetData>
    <row r="1" spans="1:7" ht="21" customHeight="1" x14ac:dyDescent="0.2">
      <c r="A1" s="52" t="s">
        <v>228</v>
      </c>
    </row>
    <row r="2" spans="1:7" x14ac:dyDescent="0.2">
      <c r="A2" s="50" t="s">
        <v>229</v>
      </c>
    </row>
    <row r="3" spans="1:7" ht="30" customHeight="1" x14ac:dyDescent="0.2">
      <c r="A3" s="53" t="s">
        <v>230</v>
      </c>
      <c r="B3" s="53" t="s">
        <v>231</v>
      </c>
      <c r="C3" s="53" t="s">
        <v>232</v>
      </c>
      <c r="D3" s="53" t="s">
        <v>233</v>
      </c>
      <c r="E3" s="53" t="s">
        <v>234</v>
      </c>
      <c r="F3" s="89" t="s">
        <v>235</v>
      </c>
      <c r="G3" s="53" t="s">
        <v>236</v>
      </c>
    </row>
    <row r="4" spans="1:7" x14ac:dyDescent="0.2">
      <c r="A4" s="54" t="s">
        <v>237</v>
      </c>
      <c r="B4" s="54"/>
      <c r="C4" s="54"/>
      <c r="D4" s="54"/>
      <c r="E4" s="54"/>
      <c r="F4" s="54"/>
      <c r="G4" s="54"/>
    </row>
    <row r="5" spans="1:7" x14ac:dyDescent="0.2">
      <c r="A5" s="55" t="s">
        <v>238</v>
      </c>
      <c r="B5" s="56" t="s">
        <v>239</v>
      </c>
      <c r="C5" s="56">
        <v>6</v>
      </c>
      <c r="D5" s="57">
        <v>8</v>
      </c>
      <c r="E5" s="57">
        <v>37</v>
      </c>
      <c r="F5" s="57">
        <v>110</v>
      </c>
      <c r="G5" s="57">
        <f>IF(OR(F5="",E5=""),"",F5-E5)</f>
        <v>73</v>
      </c>
    </row>
    <row r="6" spans="1:7" x14ac:dyDescent="0.2">
      <c r="A6" s="58" t="s">
        <v>240</v>
      </c>
      <c r="B6" s="59" t="s">
        <v>241</v>
      </c>
      <c r="C6" s="59">
        <v>9</v>
      </c>
      <c r="D6" s="60">
        <v>26</v>
      </c>
      <c r="E6" s="60">
        <v>127</v>
      </c>
      <c r="F6" s="60">
        <v>469</v>
      </c>
      <c r="G6" s="60">
        <f>IF(OR(F6="",E6=""),"",F6-E6)</f>
        <v>342</v>
      </c>
    </row>
    <row r="7" spans="1:7" x14ac:dyDescent="0.2">
      <c r="A7" s="55" t="s">
        <v>242</v>
      </c>
      <c r="B7" s="56" t="s">
        <v>243</v>
      </c>
      <c r="C7" s="56">
        <v>10</v>
      </c>
      <c r="D7" s="57">
        <v>70</v>
      </c>
      <c r="E7" s="57">
        <v>188</v>
      </c>
      <c r="F7" s="57">
        <v>580</v>
      </c>
      <c r="G7" s="57">
        <f>IF(OR(F7="",E7=""),"",F7-E7)</f>
        <v>392</v>
      </c>
    </row>
    <row r="8" spans="1:7" x14ac:dyDescent="0.2">
      <c r="A8" s="58" t="s">
        <v>244</v>
      </c>
      <c r="B8" s="59" t="s">
        <v>245</v>
      </c>
      <c r="C8" s="59">
        <v>41</v>
      </c>
      <c r="D8" s="61">
        <v>910</v>
      </c>
      <c r="E8" s="61">
        <v>4300</v>
      </c>
      <c r="F8" s="61">
        <v>15500</v>
      </c>
      <c r="G8" s="61">
        <f>IF(OR(F8="",E8=""),"",F8-E8)</f>
        <v>11200</v>
      </c>
    </row>
    <row r="9" spans="1:7" x14ac:dyDescent="0.2">
      <c r="A9" s="55" t="s">
        <v>246</v>
      </c>
      <c r="B9" s="56" t="s">
        <v>247</v>
      </c>
      <c r="C9" s="56">
        <v>4</v>
      </c>
      <c r="D9" s="57">
        <v>23</v>
      </c>
      <c r="E9" s="57">
        <v>28</v>
      </c>
      <c r="F9" s="57">
        <v>39</v>
      </c>
      <c r="G9" s="57">
        <f>IF(OR(F9="",E9=""),"",F9-E9)</f>
        <v>11</v>
      </c>
    </row>
    <row r="10" spans="1:7" x14ac:dyDescent="0.2">
      <c r="A10" s="54" t="s">
        <v>248</v>
      </c>
      <c r="B10" s="54"/>
      <c r="C10" s="54"/>
      <c r="D10" s="54"/>
      <c r="E10" s="54"/>
      <c r="F10" s="54"/>
      <c r="G10" s="54"/>
    </row>
    <row r="11" spans="1:7" x14ac:dyDescent="0.2">
      <c r="A11" s="55" t="s">
        <v>249</v>
      </c>
      <c r="B11" s="56" t="s">
        <v>250</v>
      </c>
      <c r="C11" s="56">
        <v>0</v>
      </c>
      <c r="D11" s="62">
        <v>0</v>
      </c>
      <c r="E11" s="62">
        <v>13</v>
      </c>
      <c r="F11" s="62">
        <v>102</v>
      </c>
      <c r="G11" s="62">
        <f>IF(OR(F11="",E11=""),"",F11-E11)</f>
        <v>89</v>
      </c>
    </row>
    <row r="12" spans="1:7" x14ac:dyDescent="0.2">
      <c r="A12" s="58" t="s">
        <v>251</v>
      </c>
      <c r="B12" s="59" t="s">
        <v>252</v>
      </c>
      <c r="C12" s="59">
        <v>2</v>
      </c>
      <c r="D12" s="61">
        <v>12</v>
      </c>
      <c r="E12" s="61">
        <v>80</v>
      </c>
      <c r="F12" s="61">
        <v>244</v>
      </c>
      <c r="G12" s="61">
        <f>IF(OR(F12="",E12=""),"",F12-E12)</f>
        <v>164</v>
      </c>
    </row>
    <row r="13" spans="1:7" x14ac:dyDescent="0.2">
      <c r="A13" s="55" t="s">
        <v>253</v>
      </c>
      <c r="B13" s="56" t="s">
        <v>254</v>
      </c>
      <c r="C13" s="88">
        <v>4.9000000000000002E-2</v>
      </c>
      <c r="D13" s="63">
        <v>1.2999999999999999E-2</v>
      </c>
      <c r="E13" s="63">
        <v>1.9E-2</v>
      </c>
      <c r="F13" s="63">
        <v>1.6E-2</v>
      </c>
      <c r="G13" s="64">
        <f>IF(OR(F13="",E13=""),"",F13-E13)</f>
        <v>-2.9999999999999992E-3</v>
      </c>
    </row>
    <row r="14" spans="1:7" x14ac:dyDescent="0.2">
      <c r="A14" s="58" t="s">
        <v>255</v>
      </c>
      <c r="B14" s="59" t="s">
        <v>256</v>
      </c>
      <c r="C14" s="59">
        <v>8.4</v>
      </c>
      <c r="D14" s="65">
        <v>10.199999999999999</v>
      </c>
      <c r="E14" s="65">
        <v>8.4</v>
      </c>
      <c r="F14" s="65">
        <v>6.6</v>
      </c>
      <c r="G14" s="65">
        <f>IF(OR(F14="",E14=""),"",F14-E14)</f>
        <v>-1.8000000000000007</v>
      </c>
    </row>
    <row r="15" spans="1:7" x14ac:dyDescent="0.2">
      <c r="A15" s="54" t="s">
        <v>257</v>
      </c>
      <c r="B15" s="54"/>
      <c r="C15" s="54"/>
      <c r="D15" s="54"/>
      <c r="E15" s="54"/>
      <c r="F15" s="54"/>
      <c r="G15" s="54"/>
    </row>
    <row r="16" spans="1:7" x14ac:dyDescent="0.2">
      <c r="A16" s="55" t="s">
        <v>258</v>
      </c>
      <c r="B16" s="56" t="s">
        <v>259</v>
      </c>
      <c r="C16" s="56">
        <v>0</v>
      </c>
      <c r="D16" s="62">
        <v>1</v>
      </c>
      <c r="E16" s="62">
        <v>4</v>
      </c>
      <c r="F16" s="62">
        <v>0</v>
      </c>
      <c r="G16" s="62">
        <f>IF(OR(F16="",E16=""),"",F16-E16)</f>
        <v>-4</v>
      </c>
    </row>
    <row r="17" spans="1:7" x14ac:dyDescent="0.2">
      <c r="A17" s="58" t="s">
        <v>260</v>
      </c>
      <c r="B17" s="59" t="s">
        <v>261</v>
      </c>
      <c r="C17" s="59">
        <v>43</v>
      </c>
      <c r="D17" s="61">
        <v>32</v>
      </c>
      <c r="E17" s="61">
        <v>49</v>
      </c>
      <c r="F17" s="61">
        <v>65</v>
      </c>
      <c r="G17" s="61">
        <f>IF(OR(F17="",E17=""),"",F17-E17)</f>
        <v>16</v>
      </c>
    </row>
    <row r="18" spans="1:7" x14ac:dyDescent="0.2">
      <c r="A18" s="55" t="s">
        <v>262</v>
      </c>
      <c r="B18" s="56" t="s">
        <v>263</v>
      </c>
      <c r="C18" s="56">
        <v>1</v>
      </c>
      <c r="D18" s="62">
        <v>1</v>
      </c>
      <c r="E18" s="62">
        <v>1</v>
      </c>
      <c r="F18" s="62">
        <v>0</v>
      </c>
      <c r="G18" s="62">
        <f>IF(OR(F18="",E18=""),"",F18-E18)</f>
        <v>-1</v>
      </c>
    </row>
    <row r="19" spans="1:7" x14ac:dyDescent="0.2">
      <c r="A19" s="58" t="s">
        <v>264</v>
      </c>
      <c r="B19" s="59" t="s">
        <v>265</v>
      </c>
      <c r="C19" s="59">
        <v>150</v>
      </c>
      <c r="D19" s="61">
        <v>158</v>
      </c>
      <c r="E19" s="61">
        <v>153</v>
      </c>
      <c r="F19" s="61">
        <v>238</v>
      </c>
      <c r="G19" s="61">
        <f>IF(OR(F19="",E19=""),"",F19-E19)</f>
        <v>85</v>
      </c>
    </row>
    <row r="20" spans="1:7" ht="30" customHeight="1" x14ac:dyDescent="0.2">
      <c r="A20" s="54" t="s">
        <v>266</v>
      </c>
      <c r="B20" s="54"/>
      <c r="C20" s="54"/>
      <c r="D20" s="54"/>
      <c r="E20" s="54"/>
      <c r="F20" s="54"/>
      <c r="G20" s="54"/>
    </row>
    <row r="21" spans="1:7" x14ac:dyDescent="0.2">
      <c r="A21" s="55" t="s">
        <v>267</v>
      </c>
      <c r="B21" s="56" t="s">
        <v>268</v>
      </c>
      <c r="C21" s="56" t="s">
        <v>269</v>
      </c>
      <c r="D21" s="82" t="s">
        <v>269</v>
      </c>
      <c r="E21" s="82" t="s">
        <v>270</v>
      </c>
      <c r="F21" s="82" t="s">
        <v>270</v>
      </c>
      <c r="G21" s="66"/>
    </row>
    <row r="22" spans="1:7" x14ac:dyDescent="0.2">
      <c r="A22" s="58" t="s">
        <v>271</v>
      </c>
      <c r="B22" s="59" t="s">
        <v>272</v>
      </c>
      <c r="C22" s="59">
        <v>0</v>
      </c>
      <c r="D22" s="60">
        <v>1</v>
      </c>
      <c r="E22" s="60">
        <v>1</v>
      </c>
      <c r="F22" s="60">
        <v>1</v>
      </c>
      <c r="G22" s="60">
        <f>IF(OR(F22="",E22=""),"",F22-E22)</f>
        <v>0</v>
      </c>
    </row>
    <row r="24" spans="1:7" ht="30" customHeight="1" x14ac:dyDescent="0.2">
      <c r="A24" s="54" t="s">
        <v>273</v>
      </c>
      <c r="B24" s="54"/>
      <c r="C24" s="54"/>
      <c r="D24" s="54"/>
      <c r="E24" s="54"/>
      <c r="F24" s="54"/>
      <c r="G24" s="54"/>
    </row>
    <row r="25" spans="1:7" ht="30" customHeight="1" x14ac:dyDescent="0.2">
      <c r="A25" s="95" t="s">
        <v>274</v>
      </c>
      <c r="B25" s="56" t="s">
        <v>275</v>
      </c>
      <c r="C25" s="96"/>
      <c r="D25" s="97"/>
      <c r="E25" s="97"/>
      <c r="F25" s="97"/>
      <c r="G25" s="97" t="str">
        <f>IF(OR(F25="",E25=""),"",F25-E25)</f>
        <v/>
      </c>
    </row>
    <row r="26" spans="1:7" x14ac:dyDescent="0.2">
      <c r="A26" s="98" t="s">
        <v>276</v>
      </c>
      <c r="B26" s="59"/>
      <c r="C26" s="99" t="str">
        <f>IF(OR(C25="",C12="",C12=0),"",C25/C12)</f>
        <v/>
      </c>
      <c r="D26" s="100" t="str">
        <f>IF(OR(D25="",D12="",D12=0),"",D25/D12)</f>
        <v/>
      </c>
      <c r="E26" s="100" t="str">
        <f>IF(OR(E25="",E12="",E12=0),"",E25/E12)</f>
        <v/>
      </c>
      <c r="F26" s="100" t="str">
        <f>IF(OR(F25="",F12="",F12=0),"",F25/F12)</f>
        <v/>
      </c>
      <c r="G26" s="101" t="str">
        <f>IF(OR(F26="",E26=""),"",F26-E26)</f>
        <v/>
      </c>
    </row>
    <row r="28" spans="1:7" x14ac:dyDescent="0.2">
      <c r="A28" s="102" t="s">
        <v>277</v>
      </c>
      <c r="B28" s="103"/>
      <c r="C28" s="103"/>
      <c r="D28" s="103"/>
      <c r="E28" s="103"/>
      <c r="F28" s="103"/>
      <c r="G28" s="103"/>
    </row>
  </sheetData>
  <mergeCells count="1">
    <mergeCell ref="A28:G28"/>
  </mergeCells>
  <conditionalFormatting sqref="G5:G9">
    <cfRule type="cellIs" dxfId="12" priority="1" operator="greaterThan">
      <formula>0</formula>
    </cfRule>
    <cfRule type="cellIs" dxfId="11" priority="2" operator="lessThan">
      <formula>0</formula>
    </cfRule>
  </conditionalFormatting>
  <conditionalFormatting sqref="G11:G13">
    <cfRule type="cellIs" dxfId="10" priority="11" operator="greaterThan">
      <formula>0</formula>
    </cfRule>
    <cfRule type="cellIs" dxfId="9" priority="12" operator="lessThan">
      <formula>0</formula>
    </cfRule>
  </conditionalFormatting>
  <conditionalFormatting sqref="G14">
    <cfRule type="cellIs" dxfId="8" priority="17" operator="greaterThan">
      <formula>0</formula>
    </cfRule>
    <cfRule type="cellIs" dxfId="7" priority="18" operator="lessThan">
      <formula>0</formula>
    </cfRule>
  </conditionalFormatting>
  <conditionalFormatting sqref="G16:G19">
    <cfRule type="cellIs" dxfId="6" priority="19" operator="greaterThan">
      <formula>0</formula>
    </cfRule>
    <cfRule type="cellIs" dxfId="5" priority="20" operator="lessThan">
      <formula>0</formula>
    </cfRule>
  </conditionalFormatting>
  <conditionalFormatting sqref="G22">
    <cfRule type="cellIs" dxfId="4" priority="27" operator="greaterThan">
      <formula>0</formula>
    </cfRule>
    <cfRule type="cellIs" dxfId="3" priority="28" operator="lessThan">
      <formula>0</formula>
    </cfRule>
  </conditionalFormatting>
  <conditionalFormatting sqref="G25:G26">
    <cfRule type="cellIs" dxfId="2" priority="13" operator="greaterThan">
      <formula>0</formula>
    </cfRule>
    <cfRule type="cellIs" dxfId="1" priority="14"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showGridLines="0" zoomScale="210" zoomScaleNormal="210" workbookViewId="0">
      <pane xSplit="1" ySplit="3" topLeftCell="B4" activePane="bottomRight" state="frozen"/>
      <selection pane="topRight"/>
      <selection pane="bottomLeft"/>
      <selection pane="bottomRight" activeCell="B8" sqref="B8"/>
    </sheetView>
  </sheetViews>
  <sheetFormatPr baseColWidth="10" defaultColWidth="8.83203125" defaultRowHeight="15" x14ac:dyDescent="0.2"/>
  <cols>
    <col min="1" max="1" width="40" customWidth="1"/>
    <col min="2" max="2" width="14" customWidth="1"/>
    <col min="3" max="3" width="16" customWidth="1"/>
    <col min="4" max="4" width="14" customWidth="1"/>
    <col min="5" max="6" width="13" customWidth="1"/>
  </cols>
  <sheetData>
    <row r="1" spans="1:6" ht="21" customHeight="1" x14ac:dyDescent="0.2">
      <c r="A1" s="52" t="s">
        <v>278</v>
      </c>
    </row>
    <row r="2" spans="1:6" x14ac:dyDescent="0.2">
      <c r="A2" s="50" t="s">
        <v>279</v>
      </c>
    </row>
    <row r="3" spans="1:6" ht="30" customHeight="1" x14ac:dyDescent="0.2">
      <c r="A3" s="53" t="s">
        <v>1</v>
      </c>
      <c r="B3" s="53" t="s">
        <v>13</v>
      </c>
      <c r="C3" s="53" t="s">
        <v>12</v>
      </c>
      <c r="D3" s="53" t="s">
        <v>280</v>
      </c>
      <c r="E3" s="53" t="s">
        <v>281</v>
      </c>
      <c r="F3" s="53" t="s">
        <v>282</v>
      </c>
    </row>
    <row r="4" spans="1:6" x14ac:dyDescent="0.2">
      <c r="A4" s="55" t="s">
        <v>41</v>
      </c>
      <c r="B4" s="62">
        <f>SUMIF('Keyword Master'!$B$2:$B$83,A4,'Keyword Master'!$N$2:$N$83)</f>
        <v>0</v>
      </c>
      <c r="C4" s="62">
        <f>SUMIF('Keyword Master'!$B$2:$B$83,A4,'Keyword Master'!$M$2:$M$83)</f>
        <v>0</v>
      </c>
      <c r="D4" s="67" t="str">
        <f>IFERROR(AVERAGEIFS('Keyword Master'!$K$2:$K$83,'Keyword Master'!$B$2:$B$83,A4,'Keyword Master'!$K$2:$K$83,"&gt;0"),"-")</f>
        <v>-</v>
      </c>
      <c r="E4" s="66">
        <f>COUNTIF('Keyword Master'!$B$2:$B$83,A4)</f>
        <v>7</v>
      </c>
      <c r="F4" s="66">
        <f>COUNTIFS('Keyword Master'!$B$2:$B$83,A4,'Keyword Master'!$K$2:$K$83,"&gt;0",'Keyword Master'!$K$2:$K$83,"&lt;=10")</f>
        <v>0</v>
      </c>
    </row>
    <row r="5" spans="1:6" x14ac:dyDescent="0.2">
      <c r="A5" s="68" t="s">
        <v>18</v>
      </c>
      <c r="B5" s="69">
        <f>SUMIF('Keyword Master'!$B$2:$B$83,A5,'Keyword Master'!$N$2:$N$83)</f>
        <v>0</v>
      </c>
      <c r="C5" s="69">
        <f>SUMIF('Keyword Master'!$B$2:$B$83,A5,'Keyword Master'!$M$2:$M$83)</f>
        <v>155</v>
      </c>
      <c r="D5" s="70">
        <f>IFERROR(AVERAGEIFS('Keyword Master'!$K$2:$K$83,'Keyword Master'!$B$2:$B$83,A5,'Keyword Master'!$K$2:$K$83,"&gt;0"),"-")</f>
        <v>18.2</v>
      </c>
      <c r="E5" s="71">
        <f>COUNTIF('Keyword Master'!$B$2:$B$83,A5)</f>
        <v>20</v>
      </c>
      <c r="F5" s="71">
        <f>COUNTIFS('Keyword Master'!$B$2:$B$83,A5,'Keyword Master'!$K$2:$K$83,"&gt;0",'Keyword Master'!$K$2:$K$83,"&lt;=10")</f>
        <v>0</v>
      </c>
    </row>
    <row r="6" spans="1:6" x14ac:dyDescent="0.2">
      <c r="A6" s="55" t="s">
        <v>31</v>
      </c>
      <c r="B6" s="62">
        <f>SUMIF('Keyword Master'!$B$2:$B$83,A6,'Keyword Master'!$N$2:$N$83)</f>
        <v>0</v>
      </c>
      <c r="C6" s="62">
        <f>SUMIF('Keyword Master'!$B$2:$B$83,A6,'Keyword Master'!$M$2:$M$83)</f>
        <v>1</v>
      </c>
      <c r="D6" s="67">
        <f>IFERROR(AVERAGEIFS('Keyword Master'!$K$2:$K$83,'Keyword Master'!$B$2:$B$83,A6,'Keyword Master'!$K$2:$K$83,"&gt;0"),"-")</f>
        <v>11</v>
      </c>
      <c r="E6" s="66">
        <f>COUNTIF('Keyword Master'!$B$2:$B$83,A6)</f>
        <v>37</v>
      </c>
      <c r="F6" s="66">
        <f>COUNTIFS('Keyword Master'!$B$2:$B$83,A6,'Keyword Master'!$K$2:$K$83,"&gt;0",'Keyword Master'!$K$2:$K$83,"&lt;=10")</f>
        <v>0</v>
      </c>
    </row>
    <row r="7" spans="1:6" x14ac:dyDescent="0.2">
      <c r="A7" s="68" t="s">
        <v>37</v>
      </c>
      <c r="B7" s="69">
        <f>SUMIF('Keyword Master'!$B$2:$B$83,A7,'Keyword Master'!$N$2:$N$83)</f>
        <v>14</v>
      </c>
      <c r="C7" s="69">
        <f>SUMIF('Keyword Master'!$B$2:$B$83,A7,'Keyword Master'!$M$2:$M$83)</f>
        <v>457</v>
      </c>
      <c r="D7" s="70">
        <f>IFERROR(AVERAGEIFS('Keyword Master'!$K$2:$K$83,'Keyword Master'!$B$2:$B$83,A7,'Keyword Master'!$K$2:$K$83,"&gt;0"),"-")</f>
        <v>7.9499999999999993</v>
      </c>
      <c r="E7" s="71">
        <f>COUNTIF('Keyword Master'!$B$2:$B$83,A7)</f>
        <v>9</v>
      </c>
      <c r="F7" s="71">
        <f>COUNTIFS('Keyword Master'!$B$2:$B$83,A7,'Keyword Master'!$K$2:$K$83,"&gt;0",'Keyword Master'!$K$2:$K$83,"&lt;=10")</f>
        <v>1</v>
      </c>
    </row>
    <row r="8" spans="1:6" x14ac:dyDescent="0.2">
      <c r="A8" s="55" t="s">
        <v>47</v>
      </c>
      <c r="B8" s="62">
        <f>SUMIF('Keyword Master'!$B$2:$B$83,A8,'Keyword Master'!$N$2:$N$83)</f>
        <v>0</v>
      </c>
      <c r="C8" s="62">
        <f>SUMIF('Keyword Master'!$B$2:$B$83,A8,'Keyword Master'!$M$2:$M$83)</f>
        <v>0</v>
      </c>
      <c r="D8" s="67" t="str">
        <f>IFERROR(AVERAGEIFS('Keyword Master'!$K$2:$K$83,'Keyword Master'!$B$2:$B$83,A8,'Keyword Master'!$K$2:$K$83,"&gt;0"),"-")</f>
        <v>-</v>
      </c>
      <c r="E8" s="66">
        <f>COUNTIF('Keyword Master'!$B$2:$B$83,A8)</f>
        <v>4</v>
      </c>
      <c r="F8" s="66">
        <f>COUNTIFS('Keyword Master'!$B$2:$B$83,A8,'Keyword Master'!$K$2:$K$83,"&gt;0",'Keyword Master'!$K$2:$K$83,"&lt;=10")</f>
        <v>0</v>
      </c>
    </row>
    <row r="9" spans="1:6" x14ac:dyDescent="0.2">
      <c r="A9" s="68" t="s">
        <v>79</v>
      </c>
      <c r="B9" s="69">
        <f>SUMIF('Keyword Master'!$B$2:$B$83,A9,'Keyword Master'!$N$2:$N$83)</f>
        <v>0</v>
      </c>
      <c r="C9" s="69">
        <f>SUMIF('Keyword Master'!$B$2:$B$83,A9,'Keyword Master'!$M$2:$M$83)</f>
        <v>0</v>
      </c>
      <c r="D9" s="70" t="str">
        <f>IFERROR(AVERAGEIFS('Keyword Master'!$K$2:$K$83,'Keyword Master'!$B$2:$B$83,A9,'Keyword Master'!$K$2:$K$83,"&gt;0"),"-")</f>
        <v>-</v>
      </c>
      <c r="E9" s="71">
        <f>COUNTIF('Keyword Master'!$B$2:$B$83,A9)</f>
        <v>5</v>
      </c>
      <c r="F9" s="71">
        <f>COUNTIFS('Keyword Master'!$B$2:$B$83,A9,'Keyword Master'!$K$2:$K$83,"&gt;0",'Keyword Master'!$K$2:$K$83,"&lt;=10")</f>
        <v>0</v>
      </c>
    </row>
    <row r="10" spans="1:6" x14ac:dyDescent="0.2">
      <c r="A10" s="54" t="s">
        <v>283</v>
      </c>
      <c r="B10" s="72">
        <f>SUM(B4:B9)</f>
        <v>14</v>
      </c>
      <c r="C10" s="72">
        <f>SUM(C4:C9)</f>
        <v>613</v>
      </c>
      <c r="D10" s="73">
        <f>IFERROR(AVERAGEIFS('Keyword Master'!$K$2:$K$83,'Keyword Master'!$K$2:$K$83,"&gt;0"),"-")</f>
        <v>11.275</v>
      </c>
      <c r="E10" s="74">
        <f>SUM(E4:E9)</f>
        <v>82</v>
      </c>
      <c r="F10" s="74">
        <f>SUM(F4:F9)</f>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3"/>
  <sheetViews>
    <sheetView showGridLines="0" zoomScale="190" zoomScaleNormal="190" workbookViewId="0">
      <pane xSplit="1" ySplit="1" topLeftCell="N15" activePane="bottomRight" state="frozen"/>
      <selection pane="topRight" activeCell="B1" sqref="B1"/>
      <selection pane="bottomLeft" activeCell="A2" sqref="A2"/>
      <selection pane="bottomRight" activeCell="P24" sqref="P24"/>
    </sheetView>
  </sheetViews>
  <sheetFormatPr baseColWidth="10" defaultColWidth="8.83203125" defaultRowHeight="15" x14ac:dyDescent="0.2"/>
  <cols>
    <col min="1" max="1" width="34" customWidth="1"/>
    <col min="2" max="2" width="32" customWidth="1"/>
    <col min="3" max="3" width="14" customWidth="1"/>
    <col min="4" max="4" width="11" customWidth="1"/>
    <col min="5" max="5" width="12" customWidth="1"/>
    <col min="6" max="6" width="38" customWidth="1"/>
    <col min="7" max="7" width="13" style="44" customWidth="1"/>
    <col min="8" max="8" width="16.1640625" customWidth="1"/>
    <col min="9" max="9" width="30" customWidth="1"/>
    <col min="10" max="10" width="22" customWidth="1"/>
    <col min="11" max="11" width="13" customWidth="1"/>
    <col min="12" max="12" width="18" customWidth="1"/>
    <col min="13" max="13" width="13" customWidth="1"/>
    <col min="14" max="14" width="12" customWidth="1"/>
    <col min="15" max="15" width="10" customWidth="1"/>
    <col min="16" max="16" width="14" customWidth="1"/>
    <col min="17" max="17" width="36" customWidth="1"/>
  </cols>
  <sheetData>
    <row r="1" spans="1:17" ht="38" customHeight="1" x14ac:dyDescent="0.2">
      <c r="A1" s="6" t="s">
        <v>0</v>
      </c>
      <c r="B1" s="6" t="s">
        <v>1</v>
      </c>
      <c r="C1" s="6" t="s">
        <v>2</v>
      </c>
      <c r="D1" s="6" t="s">
        <v>3</v>
      </c>
      <c r="E1" s="77" t="s">
        <v>4</v>
      </c>
      <c r="F1" s="6" t="s">
        <v>5</v>
      </c>
      <c r="G1" s="46" t="s">
        <v>6</v>
      </c>
      <c r="H1" s="42" t="s">
        <v>7</v>
      </c>
      <c r="I1" s="6" t="s">
        <v>8</v>
      </c>
      <c r="J1" s="6" t="s">
        <v>9</v>
      </c>
      <c r="K1" s="6" t="s">
        <v>10</v>
      </c>
      <c r="L1" s="77" t="s">
        <v>11</v>
      </c>
      <c r="M1" s="6" t="s">
        <v>12</v>
      </c>
      <c r="N1" s="6" t="s">
        <v>13</v>
      </c>
      <c r="O1" s="6" t="s">
        <v>14</v>
      </c>
      <c r="P1" s="6" t="s">
        <v>15</v>
      </c>
      <c r="Q1" s="6" t="s">
        <v>16</v>
      </c>
    </row>
    <row r="2" spans="1:17" ht="28" customHeight="1" x14ac:dyDescent="0.2">
      <c r="A2" s="9" t="s">
        <v>17</v>
      </c>
      <c r="B2" s="9" t="s">
        <v>18</v>
      </c>
      <c r="C2" s="9" t="s">
        <v>19</v>
      </c>
      <c r="D2" s="8" t="s">
        <v>20</v>
      </c>
      <c r="E2" s="78" t="s">
        <v>21</v>
      </c>
      <c r="F2" s="9" t="s">
        <v>22</v>
      </c>
      <c r="G2" s="36" t="s">
        <v>22</v>
      </c>
      <c r="H2" s="45">
        <v>1</v>
      </c>
      <c r="I2" s="7" t="s">
        <v>23</v>
      </c>
      <c r="J2" s="9" t="s">
        <v>24</v>
      </c>
      <c r="K2" s="9">
        <v>18.2</v>
      </c>
      <c r="L2" s="80" t="str">
        <f t="shared" ref="L2:L44" si="0">IF(AND(K2&gt;=11,K2&lt;=20),"Striking distance","")</f>
        <v>Striking distance</v>
      </c>
      <c r="M2" s="9">
        <v>155</v>
      </c>
      <c r="N2" s="9">
        <v>0</v>
      </c>
      <c r="O2" s="9">
        <v>0</v>
      </c>
      <c r="P2" s="16">
        <v>46237</v>
      </c>
      <c r="Q2" s="9" t="s">
        <v>25</v>
      </c>
    </row>
    <row r="3" spans="1:17" ht="28" customHeight="1" x14ac:dyDescent="0.2">
      <c r="A3" s="7" t="s">
        <v>26</v>
      </c>
      <c r="B3" s="7" t="s">
        <v>18</v>
      </c>
      <c r="C3" s="7" t="s">
        <v>19</v>
      </c>
      <c r="D3" s="8" t="s">
        <v>20</v>
      </c>
      <c r="E3" s="79" t="s">
        <v>27</v>
      </c>
      <c r="F3" s="7" t="s">
        <v>22</v>
      </c>
      <c r="G3" s="35" t="s">
        <v>22</v>
      </c>
      <c r="H3" s="45">
        <v>1</v>
      </c>
      <c r="I3" s="7" t="s">
        <v>23</v>
      </c>
      <c r="J3" s="7" t="s">
        <v>24</v>
      </c>
      <c r="K3" s="7">
        <v>0</v>
      </c>
      <c r="L3" s="79" t="str">
        <f t="shared" si="0"/>
        <v/>
      </c>
      <c r="M3" s="7">
        <v>0</v>
      </c>
      <c r="N3" s="7">
        <v>0</v>
      </c>
      <c r="O3" s="7">
        <v>0</v>
      </c>
      <c r="P3" s="16">
        <v>46237</v>
      </c>
      <c r="Q3" s="7" t="s">
        <v>25</v>
      </c>
    </row>
    <row r="4" spans="1:17" ht="28" customHeight="1" x14ac:dyDescent="0.2">
      <c r="A4" s="9" t="s">
        <v>28</v>
      </c>
      <c r="B4" s="9" t="s">
        <v>18</v>
      </c>
      <c r="C4" s="9" t="s">
        <v>19</v>
      </c>
      <c r="D4" s="10" t="s">
        <v>29</v>
      </c>
      <c r="E4" s="80" t="s">
        <v>27</v>
      </c>
      <c r="F4" s="9" t="s">
        <v>22</v>
      </c>
      <c r="G4" s="36" t="s">
        <v>22</v>
      </c>
      <c r="H4" s="45">
        <v>1</v>
      </c>
      <c r="I4" s="7" t="s">
        <v>23</v>
      </c>
      <c r="J4" s="9" t="s">
        <v>24</v>
      </c>
      <c r="K4" s="9">
        <v>0</v>
      </c>
      <c r="L4" s="80" t="str">
        <f t="shared" si="0"/>
        <v/>
      </c>
      <c r="M4" s="9">
        <v>0</v>
      </c>
      <c r="N4" s="9">
        <v>0</v>
      </c>
      <c r="O4" s="9">
        <v>0</v>
      </c>
      <c r="P4" s="16">
        <v>46237</v>
      </c>
      <c r="Q4" s="9" t="s">
        <v>25</v>
      </c>
    </row>
    <row r="5" spans="1:17" ht="28" customHeight="1" x14ac:dyDescent="0.2">
      <c r="A5" s="7" t="s">
        <v>30</v>
      </c>
      <c r="B5" s="7" t="s">
        <v>31</v>
      </c>
      <c r="C5" s="7" t="s">
        <v>32</v>
      </c>
      <c r="D5" s="8" t="s">
        <v>20</v>
      </c>
      <c r="E5" s="81" t="s">
        <v>21</v>
      </c>
      <c r="F5" s="7" t="s">
        <v>33</v>
      </c>
      <c r="G5" s="35" t="s">
        <v>33</v>
      </c>
      <c r="H5" s="45">
        <v>3</v>
      </c>
      <c r="I5" s="7" t="s">
        <v>23</v>
      </c>
      <c r="J5" s="7" t="s">
        <v>24</v>
      </c>
      <c r="K5" s="7">
        <v>11</v>
      </c>
      <c r="L5" s="79" t="str">
        <f t="shared" si="0"/>
        <v>Striking distance</v>
      </c>
      <c r="M5" s="7">
        <v>1</v>
      </c>
      <c r="N5" s="7">
        <v>0</v>
      </c>
      <c r="O5" s="7">
        <v>0</v>
      </c>
      <c r="P5" s="15">
        <v>46237</v>
      </c>
      <c r="Q5" s="7" t="s">
        <v>25</v>
      </c>
    </row>
    <row r="6" spans="1:17" ht="28" customHeight="1" x14ac:dyDescent="0.2">
      <c r="A6" s="7" t="s">
        <v>34</v>
      </c>
      <c r="B6" s="7" t="s">
        <v>18</v>
      </c>
      <c r="C6" s="7" t="s">
        <v>19</v>
      </c>
      <c r="D6" s="10" t="s">
        <v>29</v>
      </c>
      <c r="E6" s="81" t="s">
        <v>21</v>
      </c>
      <c r="F6" s="7" t="s">
        <v>35</v>
      </c>
      <c r="G6" s="35" t="s">
        <v>35</v>
      </c>
      <c r="H6" s="45">
        <v>4</v>
      </c>
      <c r="I6" s="7" t="s">
        <v>23</v>
      </c>
      <c r="J6" s="7" t="s">
        <v>24</v>
      </c>
      <c r="K6" s="7">
        <v>0</v>
      </c>
      <c r="L6" s="79" t="str">
        <f t="shared" si="0"/>
        <v/>
      </c>
      <c r="M6" s="7">
        <v>0</v>
      </c>
      <c r="N6" s="7">
        <v>0</v>
      </c>
      <c r="O6" s="7">
        <v>0</v>
      </c>
      <c r="P6" s="15">
        <v>46237</v>
      </c>
      <c r="Q6" s="7" t="s">
        <v>25</v>
      </c>
    </row>
    <row r="7" spans="1:17" ht="28" customHeight="1" x14ac:dyDescent="0.2">
      <c r="A7" s="9" t="s">
        <v>36</v>
      </c>
      <c r="B7" s="9" t="s">
        <v>37</v>
      </c>
      <c r="C7" s="9" t="s">
        <v>19</v>
      </c>
      <c r="D7" s="8" t="s">
        <v>20</v>
      </c>
      <c r="E7" s="78" t="s">
        <v>21</v>
      </c>
      <c r="F7" s="9" t="s">
        <v>38</v>
      </c>
      <c r="G7" s="36" t="s">
        <v>38</v>
      </c>
      <c r="H7" s="45">
        <v>5</v>
      </c>
      <c r="I7" s="7" t="s">
        <v>23</v>
      </c>
      <c r="J7" s="9" t="s">
        <v>24</v>
      </c>
      <c r="K7" s="9">
        <v>5.3</v>
      </c>
      <c r="L7" s="80" t="str">
        <f t="shared" si="0"/>
        <v/>
      </c>
      <c r="M7" s="9">
        <v>302</v>
      </c>
      <c r="N7" s="9">
        <v>13</v>
      </c>
      <c r="O7" s="87">
        <v>4.2999999999999997E-2</v>
      </c>
      <c r="P7" s="15">
        <v>46237</v>
      </c>
      <c r="Q7" s="9" t="s">
        <v>25</v>
      </c>
    </row>
    <row r="8" spans="1:17" ht="28" customHeight="1" x14ac:dyDescent="0.2">
      <c r="A8" s="9" t="s">
        <v>39</v>
      </c>
      <c r="B8" s="9" t="s">
        <v>37</v>
      </c>
      <c r="C8" s="9" t="s">
        <v>19</v>
      </c>
      <c r="D8" s="10" t="s">
        <v>29</v>
      </c>
      <c r="E8" s="80" t="s">
        <v>27</v>
      </c>
      <c r="F8" s="9" t="s">
        <v>38</v>
      </c>
      <c r="G8" s="36" t="s">
        <v>38</v>
      </c>
      <c r="H8" s="45">
        <v>5</v>
      </c>
      <c r="I8" s="7" t="s">
        <v>23</v>
      </c>
      <c r="J8" s="9" t="s">
        <v>24</v>
      </c>
      <c r="K8" s="9">
        <v>0</v>
      </c>
      <c r="L8" s="80" t="str">
        <f t="shared" si="0"/>
        <v/>
      </c>
      <c r="M8" s="9">
        <v>0</v>
      </c>
      <c r="N8" s="9">
        <v>0</v>
      </c>
      <c r="O8" s="9">
        <v>0</v>
      </c>
      <c r="P8" s="15">
        <v>46237</v>
      </c>
      <c r="Q8" s="9" t="s">
        <v>25</v>
      </c>
    </row>
    <row r="9" spans="1:17" ht="28" customHeight="1" x14ac:dyDescent="0.2">
      <c r="A9" s="7" t="s">
        <v>40</v>
      </c>
      <c r="B9" s="7" t="s">
        <v>41</v>
      </c>
      <c r="C9" s="7" t="s">
        <v>42</v>
      </c>
      <c r="D9" s="8" t="s">
        <v>20</v>
      </c>
      <c r="E9" s="81" t="s">
        <v>21</v>
      </c>
      <c r="F9" s="7" t="s">
        <v>43</v>
      </c>
      <c r="G9" s="35" t="s">
        <v>43</v>
      </c>
      <c r="H9" s="45">
        <v>6</v>
      </c>
      <c r="I9" s="7" t="s">
        <v>23</v>
      </c>
      <c r="J9" s="7" t="s">
        <v>24</v>
      </c>
      <c r="K9" s="7">
        <v>0</v>
      </c>
      <c r="L9" s="79" t="str">
        <f t="shared" si="0"/>
        <v/>
      </c>
      <c r="M9" s="7">
        <v>0</v>
      </c>
      <c r="N9" s="7">
        <v>0</v>
      </c>
      <c r="O9" s="7">
        <v>0</v>
      </c>
      <c r="P9" s="15">
        <v>46237</v>
      </c>
      <c r="Q9" s="7" t="s">
        <v>25</v>
      </c>
    </row>
    <row r="10" spans="1:17" ht="28" customHeight="1" x14ac:dyDescent="0.2">
      <c r="A10" s="7" t="s">
        <v>44</v>
      </c>
      <c r="B10" s="7" t="s">
        <v>41</v>
      </c>
      <c r="C10" s="7" t="s">
        <v>45</v>
      </c>
      <c r="D10" s="10" t="s">
        <v>29</v>
      </c>
      <c r="E10" s="79" t="s">
        <v>27</v>
      </c>
      <c r="F10" s="7" t="s">
        <v>43</v>
      </c>
      <c r="G10" s="35" t="s">
        <v>43</v>
      </c>
      <c r="H10" s="45">
        <v>6</v>
      </c>
      <c r="I10" s="7" t="s">
        <v>23</v>
      </c>
      <c r="J10" s="7" t="s">
        <v>24</v>
      </c>
      <c r="K10" s="7">
        <v>0</v>
      </c>
      <c r="L10" s="79" t="str">
        <f t="shared" si="0"/>
        <v/>
      </c>
      <c r="M10" s="7">
        <v>0</v>
      </c>
      <c r="N10" s="7">
        <v>0</v>
      </c>
      <c r="O10" s="7">
        <v>0</v>
      </c>
      <c r="P10" s="15">
        <v>46237</v>
      </c>
      <c r="Q10" s="7" t="s">
        <v>25</v>
      </c>
    </row>
    <row r="11" spans="1:17" ht="28" customHeight="1" x14ac:dyDescent="0.2">
      <c r="A11" s="9" t="s">
        <v>46</v>
      </c>
      <c r="B11" s="9" t="s">
        <v>47</v>
      </c>
      <c r="C11" s="9" t="s">
        <v>45</v>
      </c>
      <c r="D11" s="8" t="s">
        <v>20</v>
      </c>
      <c r="E11" s="80" t="s">
        <v>27</v>
      </c>
      <c r="F11" s="9" t="s">
        <v>43</v>
      </c>
      <c r="G11" s="36" t="s">
        <v>43</v>
      </c>
      <c r="H11" s="45">
        <v>6</v>
      </c>
      <c r="I11" s="7" t="s">
        <v>23</v>
      </c>
      <c r="J11" s="9" t="s">
        <v>24</v>
      </c>
      <c r="K11" s="9">
        <v>0</v>
      </c>
      <c r="L11" s="80" t="str">
        <f t="shared" si="0"/>
        <v/>
      </c>
      <c r="M11" s="9">
        <v>0</v>
      </c>
      <c r="N11" s="9">
        <v>0</v>
      </c>
      <c r="O11" s="9">
        <v>0</v>
      </c>
      <c r="P11" s="15">
        <v>46237</v>
      </c>
      <c r="Q11" s="9" t="s">
        <v>25</v>
      </c>
    </row>
    <row r="12" spans="1:17" ht="28" customHeight="1" x14ac:dyDescent="0.2">
      <c r="A12" s="7" t="s">
        <v>48</v>
      </c>
      <c r="B12" s="7" t="s">
        <v>47</v>
      </c>
      <c r="C12" s="7" t="s">
        <v>45</v>
      </c>
      <c r="D12" s="10" t="s">
        <v>29</v>
      </c>
      <c r="E12" s="79" t="s">
        <v>27</v>
      </c>
      <c r="F12" s="7" t="s">
        <v>43</v>
      </c>
      <c r="G12" s="35" t="s">
        <v>43</v>
      </c>
      <c r="H12" s="45">
        <v>6</v>
      </c>
      <c r="I12" s="7" t="s">
        <v>23</v>
      </c>
      <c r="J12" s="7" t="s">
        <v>24</v>
      </c>
      <c r="K12" s="7">
        <v>0</v>
      </c>
      <c r="L12" s="79" t="str">
        <f t="shared" si="0"/>
        <v/>
      </c>
      <c r="M12" s="7">
        <v>0</v>
      </c>
      <c r="N12" s="7">
        <v>0</v>
      </c>
      <c r="O12" s="7">
        <v>0</v>
      </c>
      <c r="P12" s="15">
        <v>46237</v>
      </c>
      <c r="Q12" s="7" t="s">
        <v>25</v>
      </c>
    </row>
    <row r="13" spans="1:17" ht="28" customHeight="1" x14ac:dyDescent="0.2">
      <c r="A13" s="9" t="s">
        <v>49</v>
      </c>
      <c r="B13" s="9" t="s">
        <v>47</v>
      </c>
      <c r="C13" s="9" t="s">
        <v>45</v>
      </c>
      <c r="D13" s="10" t="s">
        <v>29</v>
      </c>
      <c r="E13" s="80" t="s">
        <v>27</v>
      </c>
      <c r="F13" s="9" t="s">
        <v>43</v>
      </c>
      <c r="G13" s="36" t="s">
        <v>43</v>
      </c>
      <c r="H13" s="45">
        <v>6</v>
      </c>
      <c r="I13" s="7" t="s">
        <v>23</v>
      </c>
      <c r="J13" s="9" t="s">
        <v>24</v>
      </c>
      <c r="K13" s="9">
        <v>0</v>
      </c>
      <c r="L13" s="80" t="str">
        <f t="shared" si="0"/>
        <v/>
      </c>
      <c r="M13" s="9">
        <v>0</v>
      </c>
      <c r="N13" s="9">
        <v>0</v>
      </c>
      <c r="O13" s="9">
        <v>0</v>
      </c>
      <c r="P13" s="15">
        <v>46237</v>
      </c>
      <c r="Q13" s="9" t="s">
        <v>25</v>
      </c>
    </row>
    <row r="14" spans="1:17" ht="28" customHeight="1" x14ac:dyDescent="0.2">
      <c r="A14" s="9" t="s">
        <v>50</v>
      </c>
      <c r="B14" s="9" t="s">
        <v>18</v>
      </c>
      <c r="C14" s="9" t="s">
        <v>19</v>
      </c>
      <c r="D14" s="10" t="s">
        <v>29</v>
      </c>
      <c r="E14" s="78" t="s">
        <v>21</v>
      </c>
      <c r="F14" s="9" t="s">
        <v>51</v>
      </c>
      <c r="G14" s="36" t="s">
        <v>51</v>
      </c>
      <c r="H14" s="45">
        <v>7</v>
      </c>
      <c r="I14" s="7" t="s">
        <v>23</v>
      </c>
      <c r="J14" s="9" t="s">
        <v>24</v>
      </c>
      <c r="K14" s="9">
        <v>0</v>
      </c>
      <c r="L14" s="80" t="str">
        <f t="shared" si="0"/>
        <v/>
      </c>
      <c r="M14" s="9">
        <v>0</v>
      </c>
      <c r="N14" s="9">
        <v>0</v>
      </c>
      <c r="O14" s="9">
        <v>0</v>
      </c>
      <c r="P14" s="15">
        <v>46237</v>
      </c>
      <c r="Q14" s="9" t="s">
        <v>25</v>
      </c>
    </row>
    <row r="15" spans="1:17" ht="28" customHeight="1" x14ac:dyDescent="0.2">
      <c r="A15" s="7" t="s">
        <v>52</v>
      </c>
      <c r="B15" s="7" t="s">
        <v>31</v>
      </c>
      <c r="C15" s="7" t="s">
        <v>53</v>
      </c>
      <c r="D15" s="10" t="s">
        <v>29</v>
      </c>
      <c r="E15" s="81" t="s">
        <v>21</v>
      </c>
      <c r="F15" s="7" t="s">
        <v>54</v>
      </c>
      <c r="G15" s="35" t="s">
        <v>54</v>
      </c>
      <c r="H15" s="45">
        <v>8</v>
      </c>
      <c r="I15" s="7" t="s">
        <v>23</v>
      </c>
      <c r="J15" s="7" t="s">
        <v>24</v>
      </c>
      <c r="K15" s="7">
        <v>0</v>
      </c>
      <c r="L15" s="79" t="str">
        <f t="shared" si="0"/>
        <v/>
      </c>
      <c r="M15" s="7">
        <v>0</v>
      </c>
      <c r="N15" s="7">
        <v>0</v>
      </c>
      <c r="O15" s="7">
        <v>0</v>
      </c>
      <c r="P15" s="15">
        <v>46237</v>
      </c>
      <c r="Q15" s="7"/>
    </row>
    <row r="16" spans="1:17" ht="28" customHeight="1" x14ac:dyDescent="0.2">
      <c r="A16" s="9" t="s">
        <v>55</v>
      </c>
      <c r="B16" s="9" t="s">
        <v>31</v>
      </c>
      <c r="C16" s="9" t="s">
        <v>45</v>
      </c>
      <c r="D16" s="10" t="s">
        <v>29</v>
      </c>
      <c r="E16" s="78" t="s">
        <v>21</v>
      </c>
      <c r="F16" s="9" t="s">
        <v>56</v>
      </c>
      <c r="G16" s="36" t="s">
        <v>56</v>
      </c>
      <c r="H16" s="45">
        <v>9</v>
      </c>
      <c r="I16" s="7" t="s">
        <v>23</v>
      </c>
      <c r="J16" s="9" t="s">
        <v>24</v>
      </c>
      <c r="K16" s="9">
        <v>0</v>
      </c>
      <c r="L16" s="80" t="str">
        <f t="shared" si="0"/>
        <v/>
      </c>
      <c r="M16" s="9">
        <v>0</v>
      </c>
      <c r="N16" s="9">
        <v>0</v>
      </c>
      <c r="O16" s="9">
        <v>0</v>
      </c>
      <c r="P16" s="15">
        <v>46237</v>
      </c>
      <c r="Q16" s="9" t="s">
        <v>25</v>
      </c>
    </row>
    <row r="17" spans="1:17" ht="28" customHeight="1" x14ac:dyDescent="0.2">
      <c r="A17" s="9" t="s">
        <v>57</v>
      </c>
      <c r="B17" s="9" t="s">
        <v>37</v>
      </c>
      <c r="C17" s="9" t="s">
        <v>19</v>
      </c>
      <c r="D17" s="10" t="s">
        <v>29</v>
      </c>
      <c r="E17" s="78" t="s">
        <v>21</v>
      </c>
      <c r="F17" s="9" t="s">
        <v>58</v>
      </c>
      <c r="G17" s="36" t="s">
        <v>58</v>
      </c>
      <c r="H17" s="45">
        <v>10</v>
      </c>
      <c r="I17" s="7" t="s">
        <v>23</v>
      </c>
      <c r="J17" s="9" t="s">
        <v>24</v>
      </c>
      <c r="K17" s="9">
        <v>0</v>
      </c>
      <c r="L17" s="80" t="str">
        <f t="shared" si="0"/>
        <v/>
      </c>
      <c r="M17" s="9">
        <v>0</v>
      </c>
      <c r="N17" s="9">
        <v>0</v>
      </c>
      <c r="O17" s="9">
        <v>0</v>
      </c>
      <c r="P17" s="15">
        <v>46237</v>
      </c>
      <c r="Q17" s="9" t="s">
        <v>25</v>
      </c>
    </row>
    <row r="18" spans="1:17" ht="28" customHeight="1" x14ac:dyDescent="0.2">
      <c r="A18" s="7" t="s">
        <v>59</v>
      </c>
      <c r="B18" s="7" t="s">
        <v>31</v>
      </c>
      <c r="C18" s="7" t="s">
        <v>45</v>
      </c>
      <c r="D18" s="8" t="s">
        <v>20</v>
      </c>
      <c r="E18" s="81" t="s">
        <v>21</v>
      </c>
      <c r="F18" s="7" t="s">
        <v>60</v>
      </c>
      <c r="G18" s="35" t="s">
        <v>61</v>
      </c>
      <c r="H18" s="45">
        <v>11</v>
      </c>
      <c r="I18" s="7" t="s">
        <v>23</v>
      </c>
      <c r="J18" s="7" t="s">
        <v>24</v>
      </c>
      <c r="K18" s="7">
        <v>0</v>
      </c>
      <c r="L18" s="79" t="str">
        <f t="shared" si="0"/>
        <v/>
      </c>
      <c r="M18" s="7">
        <v>0</v>
      </c>
      <c r="N18" s="7">
        <v>0</v>
      </c>
      <c r="O18" s="7">
        <v>0</v>
      </c>
      <c r="P18" s="15">
        <v>46237</v>
      </c>
      <c r="Q18" s="7"/>
    </row>
    <row r="19" spans="1:17" ht="28" customHeight="1" x14ac:dyDescent="0.2">
      <c r="A19" s="9" t="s">
        <v>62</v>
      </c>
      <c r="B19" s="9" t="s">
        <v>31</v>
      </c>
      <c r="C19" s="9" t="s">
        <v>45</v>
      </c>
      <c r="D19" s="8" t="s">
        <v>20</v>
      </c>
      <c r="E19" s="80" t="s">
        <v>27</v>
      </c>
      <c r="F19" s="9" t="s">
        <v>60</v>
      </c>
      <c r="G19" s="36" t="s">
        <v>61</v>
      </c>
      <c r="H19" s="45">
        <v>11</v>
      </c>
      <c r="I19" s="7" t="s">
        <v>23</v>
      </c>
      <c r="J19" s="9" t="s">
        <v>24</v>
      </c>
      <c r="K19" s="9">
        <v>0</v>
      </c>
      <c r="L19" s="80" t="str">
        <f t="shared" si="0"/>
        <v/>
      </c>
      <c r="M19" s="9">
        <v>0</v>
      </c>
      <c r="N19" s="9">
        <v>0</v>
      </c>
      <c r="O19" s="9">
        <v>0</v>
      </c>
      <c r="P19" s="15">
        <v>46237</v>
      </c>
      <c r="Q19" s="9"/>
    </row>
    <row r="20" spans="1:17" ht="28" customHeight="1" x14ac:dyDescent="0.2">
      <c r="A20" s="7" t="s">
        <v>63</v>
      </c>
      <c r="B20" s="7" t="s">
        <v>31</v>
      </c>
      <c r="C20" s="7" t="s">
        <v>45</v>
      </c>
      <c r="D20" s="8" t="s">
        <v>20</v>
      </c>
      <c r="E20" s="79" t="s">
        <v>27</v>
      </c>
      <c r="F20" s="7" t="s">
        <v>60</v>
      </c>
      <c r="G20" s="35" t="s">
        <v>61</v>
      </c>
      <c r="H20" s="45">
        <v>11</v>
      </c>
      <c r="I20" s="7" t="s">
        <v>23</v>
      </c>
      <c r="J20" s="7" t="s">
        <v>24</v>
      </c>
      <c r="K20" s="7">
        <v>0</v>
      </c>
      <c r="L20" s="79" t="str">
        <f t="shared" si="0"/>
        <v/>
      </c>
      <c r="M20" s="7">
        <v>0</v>
      </c>
      <c r="N20" s="7">
        <v>0</v>
      </c>
      <c r="O20" s="7">
        <v>0</v>
      </c>
      <c r="P20" s="15">
        <v>46237</v>
      </c>
      <c r="Q20" s="7"/>
    </row>
    <row r="21" spans="1:17" ht="28" customHeight="1" x14ac:dyDescent="0.2">
      <c r="A21" s="9" t="s">
        <v>64</v>
      </c>
      <c r="B21" s="9" t="s">
        <v>31</v>
      </c>
      <c r="C21" s="9" t="s">
        <v>19</v>
      </c>
      <c r="D21" s="10" t="s">
        <v>29</v>
      </c>
      <c r="E21" s="80" t="s">
        <v>27</v>
      </c>
      <c r="F21" s="9" t="s">
        <v>60</v>
      </c>
      <c r="G21" s="36" t="s">
        <v>61</v>
      </c>
      <c r="H21" s="45">
        <v>11</v>
      </c>
      <c r="I21" s="7" t="s">
        <v>23</v>
      </c>
      <c r="J21" s="9" t="s">
        <v>24</v>
      </c>
      <c r="K21" s="9">
        <v>0</v>
      </c>
      <c r="L21" s="80" t="str">
        <f t="shared" si="0"/>
        <v/>
      </c>
      <c r="M21" s="9">
        <v>0</v>
      </c>
      <c r="N21" s="9">
        <v>0</v>
      </c>
      <c r="O21" s="9">
        <v>0</v>
      </c>
      <c r="P21" s="15">
        <v>46237</v>
      </c>
      <c r="Q21" s="9"/>
    </row>
    <row r="22" spans="1:17" ht="28" customHeight="1" x14ac:dyDescent="0.2">
      <c r="A22" s="7" t="s">
        <v>65</v>
      </c>
      <c r="B22" s="7" t="s">
        <v>31</v>
      </c>
      <c r="C22" s="7" t="s">
        <v>45</v>
      </c>
      <c r="D22" s="8" t="s">
        <v>20</v>
      </c>
      <c r="E22" s="81" t="s">
        <v>21</v>
      </c>
      <c r="F22" s="7" t="s">
        <v>66</v>
      </c>
      <c r="G22" s="35" t="s">
        <v>67</v>
      </c>
      <c r="H22" s="45">
        <v>12</v>
      </c>
      <c r="I22" s="7" t="s">
        <v>23</v>
      </c>
      <c r="J22" s="7" t="s">
        <v>24</v>
      </c>
      <c r="K22" s="7">
        <v>0</v>
      </c>
      <c r="L22" s="79" t="str">
        <f t="shared" si="0"/>
        <v/>
      </c>
      <c r="M22" s="7">
        <v>0</v>
      </c>
      <c r="N22" s="7">
        <v>0</v>
      </c>
      <c r="O22" s="7">
        <v>0</v>
      </c>
      <c r="P22" s="15">
        <v>46237</v>
      </c>
      <c r="Q22" s="7"/>
    </row>
    <row r="23" spans="1:17" ht="28" customHeight="1" x14ac:dyDescent="0.2">
      <c r="A23" s="9" t="s">
        <v>68</v>
      </c>
      <c r="B23" s="9" t="s">
        <v>31</v>
      </c>
      <c r="C23" s="9" t="s">
        <v>45</v>
      </c>
      <c r="D23" s="8" t="s">
        <v>20</v>
      </c>
      <c r="E23" s="80" t="s">
        <v>27</v>
      </c>
      <c r="F23" s="9" t="s">
        <v>66</v>
      </c>
      <c r="G23" s="36" t="s">
        <v>67</v>
      </c>
      <c r="H23" s="45">
        <v>12</v>
      </c>
      <c r="I23" s="7" t="s">
        <v>23</v>
      </c>
      <c r="J23" s="9" t="s">
        <v>24</v>
      </c>
      <c r="K23" s="9">
        <v>0</v>
      </c>
      <c r="L23" s="80" t="str">
        <f t="shared" si="0"/>
        <v/>
      </c>
      <c r="M23" s="9">
        <v>0</v>
      </c>
      <c r="N23" s="9">
        <v>0</v>
      </c>
      <c r="O23" s="9">
        <v>0</v>
      </c>
      <c r="P23" s="15">
        <v>46237</v>
      </c>
      <c r="Q23" s="9"/>
    </row>
    <row r="24" spans="1:17" ht="28" customHeight="1" x14ac:dyDescent="0.2">
      <c r="A24" s="7" t="s">
        <v>69</v>
      </c>
      <c r="B24" s="7" t="s">
        <v>31</v>
      </c>
      <c r="C24" s="7" t="s">
        <v>45</v>
      </c>
      <c r="D24" s="10" t="s">
        <v>29</v>
      </c>
      <c r="E24" s="79" t="s">
        <v>27</v>
      </c>
      <c r="F24" s="7" t="s">
        <v>66</v>
      </c>
      <c r="G24" s="35" t="s">
        <v>67</v>
      </c>
      <c r="H24" s="45">
        <v>12</v>
      </c>
      <c r="I24" s="7" t="s">
        <v>23</v>
      </c>
      <c r="J24" s="7" t="s">
        <v>24</v>
      </c>
      <c r="K24" s="7">
        <v>0</v>
      </c>
      <c r="L24" s="79" t="str">
        <f t="shared" si="0"/>
        <v/>
      </c>
      <c r="M24" s="7">
        <v>0</v>
      </c>
      <c r="N24" s="7">
        <v>0</v>
      </c>
      <c r="O24" s="7">
        <v>0</v>
      </c>
      <c r="P24" s="15">
        <v>46237</v>
      </c>
      <c r="Q24" s="7"/>
    </row>
    <row r="25" spans="1:17" ht="28" customHeight="1" x14ac:dyDescent="0.2">
      <c r="A25" s="9" t="s">
        <v>70</v>
      </c>
      <c r="B25" s="9" t="s">
        <v>31</v>
      </c>
      <c r="C25" s="9" t="s">
        <v>45</v>
      </c>
      <c r="D25" s="10" t="s">
        <v>29</v>
      </c>
      <c r="E25" s="80" t="s">
        <v>27</v>
      </c>
      <c r="F25" s="9" t="s">
        <v>66</v>
      </c>
      <c r="G25" s="36" t="s">
        <v>67</v>
      </c>
      <c r="H25" s="45">
        <v>12</v>
      </c>
      <c r="I25" s="7" t="s">
        <v>23</v>
      </c>
      <c r="J25" s="9" t="s">
        <v>24</v>
      </c>
      <c r="K25" s="9">
        <v>0</v>
      </c>
      <c r="L25" s="80" t="str">
        <f t="shared" si="0"/>
        <v/>
      </c>
      <c r="M25" s="9">
        <v>0</v>
      </c>
      <c r="N25" s="9">
        <v>0</v>
      </c>
      <c r="O25" s="9">
        <v>0</v>
      </c>
      <c r="P25" s="15">
        <v>46237</v>
      </c>
      <c r="Q25" s="9"/>
    </row>
    <row r="26" spans="1:17" ht="28" customHeight="1" x14ac:dyDescent="0.2">
      <c r="A26" s="9" t="s">
        <v>71</v>
      </c>
      <c r="B26" s="9" t="s">
        <v>41</v>
      </c>
      <c r="C26" s="9" t="s">
        <v>42</v>
      </c>
      <c r="D26" s="8" t="s">
        <v>20</v>
      </c>
      <c r="E26" s="78" t="s">
        <v>21</v>
      </c>
      <c r="F26" s="9" t="s">
        <v>72</v>
      </c>
      <c r="G26" s="36" t="s">
        <v>72</v>
      </c>
      <c r="H26" s="45">
        <v>13</v>
      </c>
      <c r="I26" s="7" t="s">
        <v>73</v>
      </c>
      <c r="J26" s="9" t="s">
        <v>24</v>
      </c>
      <c r="K26" s="9">
        <v>0</v>
      </c>
      <c r="L26" s="80" t="str">
        <f t="shared" si="0"/>
        <v/>
      </c>
      <c r="M26" s="9">
        <v>0</v>
      </c>
      <c r="N26" s="9">
        <v>0</v>
      </c>
      <c r="O26" s="9">
        <v>0</v>
      </c>
      <c r="P26" s="15">
        <v>46237</v>
      </c>
      <c r="Q26" s="9" t="s">
        <v>74</v>
      </c>
    </row>
    <row r="27" spans="1:17" ht="28" customHeight="1" x14ac:dyDescent="0.2">
      <c r="A27" s="7" t="s">
        <v>75</v>
      </c>
      <c r="B27" s="7" t="s">
        <v>41</v>
      </c>
      <c r="C27" s="7" t="s">
        <v>42</v>
      </c>
      <c r="D27" s="8" t="s">
        <v>20</v>
      </c>
      <c r="E27" s="81" t="s">
        <v>21</v>
      </c>
      <c r="F27" s="7" t="s">
        <v>76</v>
      </c>
      <c r="G27" s="35" t="s">
        <v>76</v>
      </c>
      <c r="H27" s="45">
        <v>13</v>
      </c>
      <c r="I27" s="7" t="s">
        <v>73</v>
      </c>
      <c r="J27" s="7" t="s">
        <v>24</v>
      </c>
      <c r="K27" s="7">
        <v>0</v>
      </c>
      <c r="L27" s="79" t="str">
        <f t="shared" si="0"/>
        <v/>
      </c>
      <c r="M27" s="7">
        <v>0</v>
      </c>
      <c r="N27" s="7">
        <v>0</v>
      </c>
      <c r="O27" s="7">
        <v>0</v>
      </c>
      <c r="P27" s="15">
        <v>46237</v>
      </c>
      <c r="Q27" s="7" t="s">
        <v>77</v>
      </c>
    </row>
    <row r="28" spans="1:17" ht="28" customHeight="1" x14ac:dyDescent="0.2">
      <c r="A28" s="9" t="s">
        <v>78</v>
      </c>
      <c r="B28" s="9" t="s">
        <v>79</v>
      </c>
      <c r="C28" s="9" t="s">
        <v>80</v>
      </c>
      <c r="D28" s="8" t="s">
        <v>20</v>
      </c>
      <c r="E28" s="78" t="s">
        <v>21</v>
      </c>
      <c r="F28" s="9" t="s">
        <v>81</v>
      </c>
      <c r="G28" s="36" t="s">
        <v>81</v>
      </c>
      <c r="H28" s="45">
        <v>13</v>
      </c>
      <c r="I28" s="7" t="s">
        <v>23</v>
      </c>
      <c r="J28" s="9" t="s">
        <v>24</v>
      </c>
      <c r="K28" s="9">
        <v>0</v>
      </c>
      <c r="L28" s="80" t="str">
        <f t="shared" si="0"/>
        <v/>
      </c>
      <c r="M28" s="9">
        <v>0</v>
      </c>
      <c r="N28" s="9">
        <v>0</v>
      </c>
      <c r="O28" s="9">
        <v>0</v>
      </c>
      <c r="P28" s="15">
        <v>46237</v>
      </c>
      <c r="Q28" s="9" t="s">
        <v>82</v>
      </c>
    </row>
    <row r="29" spans="1:17" ht="28" customHeight="1" x14ac:dyDescent="0.2">
      <c r="A29" s="7" t="s">
        <v>83</v>
      </c>
      <c r="B29" s="7" t="s">
        <v>79</v>
      </c>
      <c r="C29" s="7" t="s">
        <v>45</v>
      </c>
      <c r="D29" s="8" t="s">
        <v>20</v>
      </c>
      <c r="E29" s="79" t="s">
        <v>27</v>
      </c>
      <c r="F29" s="7" t="s">
        <v>81</v>
      </c>
      <c r="G29" s="35" t="s">
        <v>81</v>
      </c>
      <c r="H29" s="45">
        <v>13</v>
      </c>
      <c r="I29" s="7" t="s">
        <v>23</v>
      </c>
      <c r="J29" s="7" t="s">
        <v>24</v>
      </c>
      <c r="K29" s="7">
        <v>0</v>
      </c>
      <c r="L29" s="79" t="str">
        <f t="shared" si="0"/>
        <v/>
      </c>
      <c r="M29" s="7">
        <v>0</v>
      </c>
      <c r="N29" s="7">
        <v>0</v>
      </c>
      <c r="O29" s="7">
        <v>0</v>
      </c>
      <c r="P29" s="15">
        <v>46237</v>
      </c>
      <c r="Q29" s="7" t="s">
        <v>84</v>
      </c>
    </row>
    <row r="30" spans="1:17" ht="28" customHeight="1" x14ac:dyDescent="0.2">
      <c r="A30" s="9" t="s">
        <v>85</v>
      </c>
      <c r="B30" s="9" t="s">
        <v>79</v>
      </c>
      <c r="C30" s="9" t="s">
        <v>45</v>
      </c>
      <c r="D30" s="10" t="s">
        <v>29</v>
      </c>
      <c r="E30" s="80" t="s">
        <v>27</v>
      </c>
      <c r="F30" s="9" t="s">
        <v>81</v>
      </c>
      <c r="G30" s="36" t="s">
        <v>81</v>
      </c>
      <c r="H30" s="45">
        <v>13</v>
      </c>
      <c r="I30" s="7" t="s">
        <v>23</v>
      </c>
      <c r="J30" s="9" t="s">
        <v>24</v>
      </c>
      <c r="K30" s="9">
        <v>0</v>
      </c>
      <c r="L30" s="80" t="str">
        <f t="shared" si="0"/>
        <v/>
      </c>
      <c r="M30" s="9">
        <v>0</v>
      </c>
      <c r="N30" s="9">
        <v>0</v>
      </c>
      <c r="O30" s="9">
        <v>0</v>
      </c>
      <c r="P30" s="15">
        <v>46237</v>
      </c>
      <c r="Q30" s="9" t="s">
        <v>84</v>
      </c>
    </row>
    <row r="31" spans="1:17" ht="28" customHeight="1" x14ac:dyDescent="0.2">
      <c r="A31" s="7" t="s">
        <v>86</v>
      </c>
      <c r="B31" s="7" t="s">
        <v>79</v>
      </c>
      <c r="C31" s="7" t="s">
        <v>87</v>
      </c>
      <c r="D31" s="10" t="s">
        <v>29</v>
      </c>
      <c r="E31" s="79" t="s">
        <v>27</v>
      </c>
      <c r="F31" s="7" t="s">
        <v>81</v>
      </c>
      <c r="G31" s="35" t="s">
        <v>81</v>
      </c>
      <c r="H31" s="45">
        <v>13</v>
      </c>
      <c r="I31" s="7" t="s">
        <v>23</v>
      </c>
      <c r="J31" s="7" t="s">
        <v>24</v>
      </c>
      <c r="K31" s="7">
        <v>0</v>
      </c>
      <c r="L31" s="79" t="str">
        <f t="shared" si="0"/>
        <v/>
      </c>
      <c r="M31" s="7">
        <v>0</v>
      </c>
      <c r="N31" s="7">
        <v>0</v>
      </c>
      <c r="O31" s="7">
        <v>0</v>
      </c>
      <c r="P31" s="15">
        <v>46237</v>
      </c>
      <c r="Q31" s="7" t="s">
        <v>88</v>
      </c>
    </row>
    <row r="32" spans="1:17" ht="28" customHeight="1" x14ac:dyDescent="0.2">
      <c r="A32" s="7" t="s">
        <v>89</v>
      </c>
      <c r="B32" s="7" t="s">
        <v>31</v>
      </c>
      <c r="C32" s="7" t="s">
        <v>45</v>
      </c>
      <c r="D32" s="8" t="s">
        <v>20</v>
      </c>
      <c r="E32" s="81" t="s">
        <v>21</v>
      </c>
      <c r="F32" s="7" t="s">
        <v>90</v>
      </c>
      <c r="G32" s="35" t="s">
        <v>90</v>
      </c>
      <c r="H32" s="45">
        <v>14</v>
      </c>
      <c r="I32" s="7" t="s">
        <v>23</v>
      </c>
      <c r="J32" s="7" t="s">
        <v>24</v>
      </c>
      <c r="K32" s="7">
        <v>0</v>
      </c>
      <c r="L32" s="79" t="str">
        <f t="shared" si="0"/>
        <v/>
      </c>
      <c r="M32" s="7">
        <v>0</v>
      </c>
      <c r="N32" s="7">
        <v>0</v>
      </c>
      <c r="O32" s="7">
        <v>0</v>
      </c>
      <c r="P32" s="15">
        <v>46237</v>
      </c>
      <c r="Q32" s="7"/>
    </row>
    <row r="33" spans="1:17" ht="28" customHeight="1" x14ac:dyDescent="0.2">
      <c r="A33" s="9" t="s">
        <v>91</v>
      </c>
      <c r="B33" s="9" t="s">
        <v>31</v>
      </c>
      <c r="C33" s="9" t="s">
        <v>45</v>
      </c>
      <c r="D33" s="8" t="s">
        <v>20</v>
      </c>
      <c r="E33" s="80" t="s">
        <v>27</v>
      </c>
      <c r="F33" s="9" t="s">
        <v>90</v>
      </c>
      <c r="G33" s="36" t="s">
        <v>90</v>
      </c>
      <c r="H33" s="45">
        <v>14</v>
      </c>
      <c r="I33" s="7" t="s">
        <v>23</v>
      </c>
      <c r="J33" s="9" t="s">
        <v>24</v>
      </c>
      <c r="K33" s="9">
        <v>0</v>
      </c>
      <c r="L33" s="80" t="str">
        <f t="shared" si="0"/>
        <v/>
      </c>
      <c r="M33" s="9">
        <v>0</v>
      </c>
      <c r="N33" s="9">
        <v>0</v>
      </c>
      <c r="O33" s="9">
        <v>0</v>
      </c>
      <c r="P33" s="15">
        <v>46237</v>
      </c>
      <c r="Q33" s="9"/>
    </row>
    <row r="34" spans="1:17" ht="28" customHeight="1" x14ac:dyDescent="0.2">
      <c r="A34" s="7" t="s">
        <v>92</v>
      </c>
      <c r="B34" s="7" t="s">
        <v>31</v>
      </c>
      <c r="C34" s="7" t="s">
        <v>19</v>
      </c>
      <c r="D34" s="10" t="s">
        <v>29</v>
      </c>
      <c r="E34" s="79" t="s">
        <v>27</v>
      </c>
      <c r="F34" s="7" t="s">
        <v>90</v>
      </c>
      <c r="G34" s="35" t="s">
        <v>90</v>
      </c>
      <c r="H34" s="45">
        <v>14</v>
      </c>
      <c r="I34" s="7" t="s">
        <v>23</v>
      </c>
      <c r="J34" s="7" t="s">
        <v>24</v>
      </c>
      <c r="K34" s="7">
        <v>0</v>
      </c>
      <c r="L34" s="79" t="str">
        <f t="shared" si="0"/>
        <v/>
      </c>
      <c r="M34" s="7">
        <v>0</v>
      </c>
      <c r="N34" s="7">
        <v>0</v>
      </c>
      <c r="O34" s="7">
        <v>0</v>
      </c>
      <c r="P34" s="15">
        <v>46237</v>
      </c>
      <c r="Q34" s="7"/>
    </row>
    <row r="35" spans="1:17" ht="28" customHeight="1" x14ac:dyDescent="0.2">
      <c r="A35" s="7" t="s">
        <v>93</v>
      </c>
      <c r="B35" s="7" t="s">
        <v>37</v>
      </c>
      <c r="C35" s="7" t="s">
        <v>19</v>
      </c>
      <c r="D35" s="10" t="s">
        <v>29</v>
      </c>
      <c r="E35" s="79" t="s">
        <v>27</v>
      </c>
      <c r="F35" s="7" t="s">
        <v>90</v>
      </c>
      <c r="G35" s="35" t="s">
        <v>90</v>
      </c>
      <c r="H35" s="45">
        <v>14</v>
      </c>
      <c r="I35" s="7" t="s">
        <v>23</v>
      </c>
      <c r="J35" s="7" t="s">
        <v>24</v>
      </c>
      <c r="K35" s="7">
        <v>0</v>
      </c>
      <c r="L35" s="79" t="str">
        <f t="shared" si="0"/>
        <v/>
      </c>
      <c r="M35" s="7">
        <v>0</v>
      </c>
      <c r="N35" s="7">
        <v>0</v>
      </c>
      <c r="O35" s="7">
        <v>0</v>
      </c>
      <c r="P35" s="15">
        <v>46237</v>
      </c>
      <c r="Q35" s="7"/>
    </row>
    <row r="36" spans="1:17" ht="28" customHeight="1" x14ac:dyDescent="0.2">
      <c r="A36" s="37" t="s">
        <v>94</v>
      </c>
      <c r="B36" s="37" t="s">
        <v>31</v>
      </c>
      <c r="C36" s="37" t="s">
        <v>53</v>
      </c>
      <c r="D36" s="38" t="s">
        <v>20</v>
      </c>
      <c r="E36" s="81" t="s">
        <v>21</v>
      </c>
      <c r="F36" s="37" t="s">
        <v>95</v>
      </c>
      <c r="G36" s="33" t="s">
        <v>95</v>
      </c>
      <c r="H36" s="45">
        <v>15</v>
      </c>
      <c r="I36" s="7" t="s">
        <v>23</v>
      </c>
      <c r="J36" s="37" t="s">
        <v>24</v>
      </c>
      <c r="K36" s="37">
        <v>0</v>
      </c>
      <c r="L36" s="79" t="str">
        <f t="shared" si="0"/>
        <v/>
      </c>
      <c r="M36" s="37">
        <v>0</v>
      </c>
      <c r="N36" s="37">
        <v>0</v>
      </c>
      <c r="O36" s="37">
        <v>0</v>
      </c>
      <c r="P36" s="15">
        <v>46237</v>
      </c>
      <c r="Q36" s="37" t="s">
        <v>96</v>
      </c>
    </row>
    <row r="37" spans="1:17" ht="28" customHeight="1" x14ac:dyDescent="0.2">
      <c r="A37" s="7" t="s">
        <v>97</v>
      </c>
      <c r="B37" s="37" t="s">
        <v>31</v>
      </c>
      <c r="C37" s="37" t="s">
        <v>53</v>
      </c>
      <c r="D37" s="38" t="s">
        <v>29</v>
      </c>
      <c r="E37" s="79" t="s">
        <v>27</v>
      </c>
      <c r="F37" s="37" t="s">
        <v>95</v>
      </c>
      <c r="G37" s="33" t="s">
        <v>95</v>
      </c>
      <c r="H37" s="45">
        <v>15</v>
      </c>
      <c r="I37" s="7" t="s">
        <v>23</v>
      </c>
      <c r="J37" s="37" t="s">
        <v>24</v>
      </c>
      <c r="K37" s="37">
        <v>0</v>
      </c>
      <c r="L37" s="79" t="str">
        <f t="shared" si="0"/>
        <v/>
      </c>
      <c r="M37" s="37">
        <v>0</v>
      </c>
      <c r="N37" s="37">
        <v>0</v>
      </c>
      <c r="O37" s="37">
        <v>0</v>
      </c>
      <c r="P37" s="15">
        <v>46237</v>
      </c>
      <c r="Q37" s="37" t="s">
        <v>98</v>
      </c>
    </row>
    <row r="38" spans="1:17" ht="28" customHeight="1" x14ac:dyDescent="0.2">
      <c r="A38" s="37" t="s">
        <v>99</v>
      </c>
      <c r="B38" s="37" t="s">
        <v>31</v>
      </c>
      <c r="C38" s="37" t="s">
        <v>19</v>
      </c>
      <c r="D38" s="38" t="s">
        <v>100</v>
      </c>
      <c r="E38" s="79" t="s">
        <v>27</v>
      </c>
      <c r="F38" s="37" t="s">
        <v>95</v>
      </c>
      <c r="G38" s="33" t="s">
        <v>95</v>
      </c>
      <c r="H38" s="45">
        <v>15</v>
      </c>
      <c r="I38" s="7" t="s">
        <v>23</v>
      </c>
      <c r="J38" s="37" t="s">
        <v>24</v>
      </c>
      <c r="K38" s="37">
        <v>0</v>
      </c>
      <c r="L38" s="79" t="str">
        <f t="shared" si="0"/>
        <v/>
      </c>
      <c r="M38" s="37">
        <v>0</v>
      </c>
      <c r="N38" s="37">
        <v>0</v>
      </c>
      <c r="O38" s="37">
        <v>0</v>
      </c>
      <c r="P38" s="15">
        <v>46237</v>
      </c>
      <c r="Q38" s="37" t="s">
        <v>101</v>
      </c>
    </row>
    <row r="39" spans="1:17" ht="28" customHeight="1" x14ac:dyDescent="0.2">
      <c r="A39" s="7" t="s">
        <v>102</v>
      </c>
      <c r="B39" s="37" t="s">
        <v>18</v>
      </c>
      <c r="C39" s="37" t="s">
        <v>19</v>
      </c>
      <c r="D39" s="38" t="s">
        <v>29</v>
      </c>
      <c r="E39" s="81" t="s">
        <v>21</v>
      </c>
      <c r="F39" s="37" t="s">
        <v>103</v>
      </c>
      <c r="G39" s="33" t="s">
        <v>104</v>
      </c>
      <c r="H39" s="45">
        <v>16</v>
      </c>
      <c r="I39" s="7" t="s">
        <v>23</v>
      </c>
      <c r="J39" s="37" t="s">
        <v>24</v>
      </c>
      <c r="K39" s="37">
        <v>0</v>
      </c>
      <c r="L39" s="79" t="str">
        <f t="shared" si="0"/>
        <v/>
      </c>
      <c r="M39" s="37">
        <v>0</v>
      </c>
      <c r="N39" s="37">
        <v>0</v>
      </c>
      <c r="O39" s="37">
        <v>0</v>
      </c>
      <c r="P39" s="15">
        <v>46237</v>
      </c>
      <c r="Q39" s="37" t="s">
        <v>105</v>
      </c>
    </row>
    <row r="40" spans="1:17" ht="28" customHeight="1" x14ac:dyDescent="0.2">
      <c r="A40" s="37" t="s">
        <v>106</v>
      </c>
      <c r="B40" s="37" t="s">
        <v>18</v>
      </c>
      <c r="C40" s="37" t="s">
        <v>19</v>
      </c>
      <c r="D40" s="38" t="s">
        <v>29</v>
      </c>
      <c r="E40" s="79" t="s">
        <v>27</v>
      </c>
      <c r="F40" s="37" t="s">
        <v>103</v>
      </c>
      <c r="G40" s="33" t="s">
        <v>104</v>
      </c>
      <c r="H40" s="45">
        <v>16</v>
      </c>
      <c r="I40" s="7" t="s">
        <v>23</v>
      </c>
      <c r="J40" s="37" t="s">
        <v>24</v>
      </c>
      <c r="K40" s="37">
        <v>0</v>
      </c>
      <c r="L40" s="79" t="str">
        <f t="shared" si="0"/>
        <v/>
      </c>
      <c r="M40" s="37">
        <v>0</v>
      </c>
      <c r="N40" s="37">
        <v>0</v>
      </c>
      <c r="O40" s="37">
        <v>0</v>
      </c>
      <c r="P40" s="15">
        <v>46237</v>
      </c>
      <c r="Q40" s="37" t="s">
        <v>98</v>
      </c>
    </row>
    <row r="41" spans="1:17" ht="28" customHeight="1" x14ac:dyDescent="0.2">
      <c r="A41" s="7" t="s">
        <v>107</v>
      </c>
      <c r="B41" s="37" t="s">
        <v>18</v>
      </c>
      <c r="C41" s="37" t="s">
        <v>19</v>
      </c>
      <c r="D41" s="38" t="s">
        <v>100</v>
      </c>
      <c r="E41" s="79" t="s">
        <v>27</v>
      </c>
      <c r="F41" s="37" t="s">
        <v>103</v>
      </c>
      <c r="G41" s="33" t="s">
        <v>104</v>
      </c>
      <c r="H41" s="45">
        <v>16</v>
      </c>
      <c r="I41" s="7" t="s">
        <v>23</v>
      </c>
      <c r="J41" s="37" t="s">
        <v>24</v>
      </c>
      <c r="K41" s="37">
        <v>0</v>
      </c>
      <c r="L41" s="79" t="str">
        <f t="shared" si="0"/>
        <v/>
      </c>
      <c r="M41" s="37">
        <v>0</v>
      </c>
      <c r="N41" s="37">
        <v>0</v>
      </c>
      <c r="O41" s="37">
        <v>0</v>
      </c>
      <c r="P41" s="15">
        <v>46237</v>
      </c>
      <c r="Q41" s="37" t="s">
        <v>98</v>
      </c>
    </row>
    <row r="42" spans="1:17" ht="28" customHeight="1" x14ac:dyDescent="0.2">
      <c r="A42" s="37" t="s">
        <v>108</v>
      </c>
      <c r="B42" s="37" t="s">
        <v>18</v>
      </c>
      <c r="C42" s="37" t="s">
        <v>19</v>
      </c>
      <c r="D42" s="38" t="s">
        <v>29</v>
      </c>
      <c r="E42" s="81" t="s">
        <v>21</v>
      </c>
      <c r="F42" s="37" t="s">
        <v>109</v>
      </c>
      <c r="G42" s="33"/>
      <c r="H42" s="45">
        <v>17</v>
      </c>
      <c r="I42" s="7" t="s">
        <v>23</v>
      </c>
      <c r="J42" s="37" t="s">
        <v>24</v>
      </c>
      <c r="K42" s="37">
        <v>0</v>
      </c>
      <c r="L42" s="79" t="str">
        <f t="shared" si="0"/>
        <v/>
      </c>
      <c r="M42" s="37">
        <v>0</v>
      </c>
      <c r="N42" s="37">
        <v>0</v>
      </c>
      <c r="O42" s="37">
        <v>0</v>
      </c>
      <c r="P42" s="15">
        <v>46237</v>
      </c>
      <c r="Q42" s="37" t="s">
        <v>110</v>
      </c>
    </row>
    <row r="43" spans="1:17" ht="28" customHeight="1" x14ac:dyDescent="0.2">
      <c r="A43" s="37" t="s">
        <v>111</v>
      </c>
      <c r="B43" s="37" t="s">
        <v>18</v>
      </c>
      <c r="C43" s="37" t="s">
        <v>19</v>
      </c>
      <c r="D43" s="38" t="s">
        <v>29</v>
      </c>
      <c r="E43" s="79" t="s">
        <v>27</v>
      </c>
      <c r="F43" s="37" t="s">
        <v>109</v>
      </c>
      <c r="G43" s="33"/>
      <c r="H43" s="45">
        <v>17</v>
      </c>
      <c r="I43" s="7" t="s">
        <v>23</v>
      </c>
      <c r="J43" s="37" t="s">
        <v>24</v>
      </c>
      <c r="K43" s="37">
        <v>0</v>
      </c>
      <c r="L43" s="79" t="str">
        <f t="shared" si="0"/>
        <v/>
      </c>
      <c r="M43" s="37">
        <v>0</v>
      </c>
      <c r="N43" s="37">
        <v>0</v>
      </c>
      <c r="O43" s="37">
        <v>0</v>
      </c>
      <c r="P43" s="15">
        <v>46237</v>
      </c>
      <c r="Q43" s="37" t="s">
        <v>98</v>
      </c>
    </row>
    <row r="44" spans="1:17" ht="28" customHeight="1" x14ac:dyDescent="0.2">
      <c r="A44" s="37" t="s">
        <v>112</v>
      </c>
      <c r="B44" s="37" t="s">
        <v>18</v>
      </c>
      <c r="C44" s="37" t="s">
        <v>45</v>
      </c>
      <c r="D44" s="38" t="s">
        <v>100</v>
      </c>
      <c r="E44" s="79" t="s">
        <v>27</v>
      </c>
      <c r="F44" s="37" t="s">
        <v>109</v>
      </c>
      <c r="G44" s="33"/>
      <c r="H44" s="45">
        <v>17</v>
      </c>
      <c r="I44" s="7" t="s">
        <v>23</v>
      </c>
      <c r="J44" s="37" t="s">
        <v>24</v>
      </c>
      <c r="K44" s="37">
        <v>0</v>
      </c>
      <c r="L44" s="79" t="str">
        <f t="shared" si="0"/>
        <v/>
      </c>
      <c r="M44" s="37">
        <v>0</v>
      </c>
      <c r="N44" s="37">
        <v>0</v>
      </c>
      <c r="O44" s="37">
        <v>0</v>
      </c>
      <c r="P44" s="15">
        <v>46237</v>
      </c>
      <c r="Q44" s="37" t="s">
        <v>98</v>
      </c>
    </row>
    <row r="45" spans="1:17" ht="28" customHeight="1" x14ac:dyDescent="0.2">
      <c r="A45" s="7" t="s">
        <v>113</v>
      </c>
      <c r="B45" s="37" t="s">
        <v>37</v>
      </c>
      <c r="C45" s="37" t="s">
        <v>19</v>
      </c>
      <c r="D45" s="38" t="s">
        <v>29</v>
      </c>
      <c r="E45" s="81" t="s">
        <v>21</v>
      </c>
      <c r="F45" s="37" t="s">
        <v>114</v>
      </c>
      <c r="G45" s="33" t="s">
        <v>115</v>
      </c>
      <c r="H45" s="45">
        <v>18</v>
      </c>
      <c r="I45" s="7" t="s">
        <v>23</v>
      </c>
      <c r="J45" s="37" t="s">
        <v>24</v>
      </c>
      <c r="K45" s="37">
        <v>10.6</v>
      </c>
      <c r="L45" s="79"/>
      <c r="M45" s="37">
        <v>155</v>
      </c>
      <c r="N45" s="37">
        <v>1</v>
      </c>
      <c r="O45" s="37">
        <v>0.6</v>
      </c>
      <c r="P45" s="15">
        <v>46237</v>
      </c>
      <c r="Q45" s="37" t="s">
        <v>116</v>
      </c>
    </row>
    <row r="46" spans="1:17" ht="28" customHeight="1" x14ac:dyDescent="0.2">
      <c r="A46" s="37" t="s">
        <v>117</v>
      </c>
      <c r="B46" s="37" t="s">
        <v>37</v>
      </c>
      <c r="C46" s="37" t="s">
        <v>19</v>
      </c>
      <c r="D46" s="38" t="s">
        <v>29</v>
      </c>
      <c r="E46" s="79" t="s">
        <v>27</v>
      </c>
      <c r="F46" s="37" t="s">
        <v>114</v>
      </c>
      <c r="G46" s="33" t="s">
        <v>115</v>
      </c>
      <c r="H46" s="45">
        <v>18</v>
      </c>
      <c r="I46" s="7" t="s">
        <v>23</v>
      </c>
      <c r="J46" s="37" t="s">
        <v>24</v>
      </c>
      <c r="K46" s="37">
        <v>0</v>
      </c>
      <c r="L46" s="79" t="str">
        <f t="shared" ref="L46:L83" si="1">IF(AND(K46&gt;=11,K46&lt;=20),"Striking distance","")</f>
        <v/>
      </c>
      <c r="M46" s="37">
        <v>0</v>
      </c>
      <c r="N46" s="37">
        <v>0</v>
      </c>
      <c r="O46" s="37">
        <v>0</v>
      </c>
      <c r="P46" s="15">
        <v>46237</v>
      </c>
      <c r="Q46" s="37" t="s">
        <v>98</v>
      </c>
    </row>
    <row r="47" spans="1:17" ht="28" customHeight="1" x14ac:dyDescent="0.2">
      <c r="A47" s="37" t="s">
        <v>118</v>
      </c>
      <c r="B47" s="37" t="s">
        <v>37</v>
      </c>
      <c r="C47" s="37" t="s">
        <v>119</v>
      </c>
      <c r="D47" s="38" t="s">
        <v>100</v>
      </c>
      <c r="E47" s="79" t="s">
        <v>27</v>
      </c>
      <c r="F47" s="37" t="s">
        <v>114</v>
      </c>
      <c r="G47" s="33" t="s">
        <v>115</v>
      </c>
      <c r="H47" s="45">
        <v>18</v>
      </c>
      <c r="I47" s="7" t="s">
        <v>23</v>
      </c>
      <c r="J47" s="37" t="s">
        <v>24</v>
      </c>
      <c r="K47" s="37">
        <v>0</v>
      </c>
      <c r="L47" s="79" t="str">
        <f t="shared" si="1"/>
        <v/>
      </c>
      <c r="M47" s="37">
        <v>0</v>
      </c>
      <c r="N47" s="37">
        <v>0</v>
      </c>
      <c r="O47" s="37">
        <v>0</v>
      </c>
      <c r="P47" s="15">
        <v>46237</v>
      </c>
      <c r="Q47" s="37" t="s">
        <v>120</v>
      </c>
    </row>
    <row r="48" spans="1:17" ht="45" customHeight="1" x14ac:dyDescent="0.2">
      <c r="A48" s="35" t="s">
        <v>121</v>
      </c>
      <c r="B48" s="33" t="s">
        <v>31</v>
      </c>
      <c r="C48" s="33" t="s">
        <v>45</v>
      </c>
      <c r="D48" s="34" t="s">
        <v>29</v>
      </c>
      <c r="E48" s="81" t="s">
        <v>21</v>
      </c>
      <c r="F48" s="33" t="s">
        <v>122</v>
      </c>
      <c r="G48" s="33"/>
      <c r="H48" s="45">
        <v>19</v>
      </c>
      <c r="I48" s="7" t="s">
        <v>23</v>
      </c>
      <c r="J48" s="33" t="s">
        <v>24</v>
      </c>
      <c r="K48" s="33">
        <v>0</v>
      </c>
      <c r="L48" s="79" t="str">
        <f t="shared" si="1"/>
        <v/>
      </c>
      <c r="M48" s="33">
        <v>0</v>
      </c>
      <c r="N48" s="33">
        <v>0</v>
      </c>
      <c r="O48" s="33">
        <v>0</v>
      </c>
      <c r="P48" s="15">
        <v>46237</v>
      </c>
      <c r="Q48" s="33" t="s">
        <v>123</v>
      </c>
    </row>
    <row r="49" spans="1:17" ht="30" customHeight="1" x14ac:dyDescent="0.2">
      <c r="A49" s="33" t="s">
        <v>124</v>
      </c>
      <c r="B49" s="33" t="s">
        <v>31</v>
      </c>
      <c r="C49" s="33" t="s">
        <v>45</v>
      </c>
      <c r="D49" s="34" t="s">
        <v>100</v>
      </c>
      <c r="E49" s="79" t="s">
        <v>27</v>
      </c>
      <c r="F49" s="33" t="s">
        <v>122</v>
      </c>
      <c r="G49" s="33"/>
      <c r="H49" s="45">
        <v>19</v>
      </c>
      <c r="I49" s="7" t="s">
        <v>23</v>
      </c>
      <c r="J49" s="33" t="s">
        <v>24</v>
      </c>
      <c r="K49" s="33">
        <v>0</v>
      </c>
      <c r="L49" s="79" t="str">
        <f t="shared" si="1"/>
        <v/>
      </c>
      <c r="M49" s="33">
        <v>0</v>
      </c>
      <c r="N49" s="33">
        <v>0</v>
      </c>
      <c r="O49" s="33">
        <v>0</v>
      </c>
      <c r="P49" s="15">
        <v>46237</v>
      </c>
      <c r="Q49" s="33" t="s">
        <v>98</v>
      </c>
    </row>
    <row r="50" spans="1:17" ht="30" customHeight="1" x14ac:dyDescent="0.2">
      <c r="A50" s="33" t="s">
        <v>125</v>
      </c>
      <c r="B50" s="33" t="s">
        <v>31</v>
      </c>
      <c r="C50" s="33" t="s">
        <v>45</v>
      </c>
      <c r="D50" s="34" t="s">
        <v>100</v>
      </c>
      <c r="E50" s="79" t="s">
        <v>27</v>
      </c>
      <c r="F50" s="33" t="s">
        <v>122</v>
      </c>
      <c r="G50" s="33"/>
      <c r="H50" s="45">
        <v>19</v>
      </c>
      <c r="I50" s="7" t="s">
        <v>23</v>
      </c>
      <c r="J50" s="33" t="s">
        <v>24</v>
      </c>
      <c r="K50" s="33">
        <v>0</v>
      </c>
      <c r="L50" s="79" t="str">
        <f t="shared" si="1"/>
        <v/>
      </c>
      <c r="M50" s="33">
        <v>0</v>
      </c>
      <c r="N50" s="33">
        <v>0</v>
      </c>
      <c r="O50" s="33">
        <v>0</v>
      </c>
      <c r="P50" s="15">
        <v>46237</v>
      </c>
      <c r="Q50" s="33" t="s">
        <v>98</v>
      </c>
    </row>
    <row r="51" spans="1:17" ht="30" customHeight="1" x14ac:dyDescent="0.2">
      <c r="A51" s="33" t="s">
        <v>126</v>
      </c>
      <c r="B51" s="33" t="s">
        <v>31</v>
      </c>
      <c r="C51" s="33" t="s">
        <v>45</v>
      </c>
      <c r="D51" s="34" t="s">
        <v>20</v>
      </c>
      <c r="E51" s="81" t="s">
        <v>21</v>
      </c>
      <c r="F51" s="33" t="s">
        <v>127</v>
      </c>
      <c r="G51" s="33"/>
      <c r="H51" s="45">
        <v>20</v>
      </c>
      <c r="I51" s="33" t="s">
        <v>128</v>
      </c>
      <c r="J51" s="33" t="s">
        <v>24</v>
      </c>
      <c r="K51" s="33">
        <v>0</v>
      </c>
      <c r="L51" s="79" t="str">
        <f t="shared" si="1"/>
        <v/>
      </c>
      <c r="M51" s="33">
        <v>0</v>
      </c>
      <c r="N51" s="33">
        <v>0</v>
      </c>
      <c r="O51" s="33">
        <v>0</v>
      </c>
      <c r="P51" s="15">
        <v>46237</v>
      </c>
      <c r="Q51" s="33" t="s">
        <v>129</v>
      </c>
    </row>
    <row r="52" spans="1:17" ht="30" customHeight="1" x14ac:dyDescent="0.2">
      <c r="A52" s="33" t="s">
        <v>130</v>
      </c>
      <c r="B52" s="33" t="s">
        <v>31</v>
      </c>
      <c r="C52" s="33" t="s">
        <v>45</v>
      </c>
      <c r="D52" s="34" t="s">
        <v>29</v>
      </c>
      <c r="E52" s="79" t="s">
        <v>27</v>
      </c>
      <c r="F52" s="33" t="s">
        <v>127</v>
      </c>
      <c r="G52" s="33"/>
      <c r="H52" s="45">
        <v>20</v>
      </c>
      <c r="I52" s="33" t="s">
        <v>128</v>
      </c>
      <c r="J52" s="33" t="s">
        <v>24</v>
      </c>
      <c r="K52" s="33">
        <v>0</v>
      </c>
      <c r="L52" s="79" t="str">
        <f t="shared" si="1"/>
        <v/>
      </c>
      <c r="M52" s="33">
        <v>0</v>
      </c>
      <c r="N52" s="33">
        <v>0</v>
      </c>
      <c r="O52" s="33">
        <v>0</v>
      </c>
      <c r="P52" s="15">
        <v>46237</v>
      </c>
      <c r="Q52" s="33" t="s">
        <v>98</v>
      </c>
    </row>
    <row r="53" spans="1:17" ht="30" customHeight="1" x14ac:dyDescent="0.2">
      <c r="A53" s="35" t="s">
        <v>131</v>
      </c>
      <c r="B53" s="33" t="s">
        <v>31</v>
      </c>
      <c r="C53" s="33" t="s">
        <v>19</v>
      </c>
      <c r="D53" s="34" t="s">
        <v>100</v>
      </c>
      <c r="E53" s="79" t="s">
        <v>27</v>
      </c>
      <c r="F53" s="33" t="s">
        <v>127</v>
      </c>
      <c r="G53" s="33"/>
      <c r="H53" s="45">
        <v>20</v>
      </c>
      <c r="I53" s="33" t="s">
        <v>128</v>
      </c>
      <c r="J53" s="33" t="s">
        <v>24</v>
      </c>
      <c r="K53" s="33">
        <v>0</v>
      </c>
      <c r="L53" s="79" t="str">
        <f t="shared" si="1"/>
        <v/>
      </c>
      <c r="M53" s="33">
        <v>0</v>
      </c>
      <c r="N53" s="33">
        <v>0</v>
      </c>
      <c r="O53" s="33">
        <v>0</v>
      </c>
      <c r="P53" s="15">
        <v>46237</v>
      </c>
      <c r="Q53" s="33" t="s">
        <v>98</v>
      </c>
    </row>
    <row r="54" spans="1:17" ht="30" customHeight="1" x14ac:dyDescent="0.2">
      <c r="A54" s="35" t="s">
        <v>132</v>
      </c>
      <c r="B54" s="33" t="s">
        <v>18</v>
      </c>
      <c r="C54" s="33" t="s">
        <v>19</v>
      </c>
      <c r="D54" s="34" t="s">
        <v>29</v>
      </c>
      <c r="E54" s="81" t="s">
        <v>21</v>
      </c>
      <c r="F54" s="33" t="s">
        <v>133</v>
      </c>
      <c r="G54" s="33"/>
      <c r="H54" s="45">
        <v>21</v>
      </c>
      <c r="I54" s="33" t="s">
        <v>134</v>
      </c>
      <c r="J54" s="33" t="s">
        <v>24</v>
      </c>
      <c r="K54" s="33">
        <v>0</v>
      </c>
      <c r="L54" s="79" t="str">
        <f t="shared" si="1"/>
        <v/>
      </c>
      <c r="M54" s="33">
        <v>0</v>
      </c>
      <c r="N54" s="33">
        <v>0</v>
      </c>
      <c r="O54" s="33">
        <v>0</v>
      </c>
      <c r="P54" s="15">
        <v>46237</v>
      </c>
      <c r="Q54" s="33" t="s">
        <v>135</v>
      </c>
    </row>
    <row r="55" spans="1:17" ht="30" customHeight="1" x14ac:dyDescent="0.2">
      <c r="A55" s="33" t="s">
        <v>136</v>
      </c>
      <c r="B55" s="33" t="s">
        <v>18</v>
      </c>
      <c r="C55" s="33" t="s">
        <v>19</v>
      </c>
      <c r="D55" s="34" t="s">
        <v>100</v>
      </c>
      <c r="E55" s="79" t="s">
        <v>27</v>
      </c>
      <c r="F55" s="33" t="s">
        <v>133</v>
      </c>
      <c r="G55" s="33"/>
      <c r="H55" s="45">
        <v>21</v>
      </c>
      <c r="I55" s="33" t="s">
        <v>134</v>
      </c>
      <c r="J55" s="33" t="s">
        <v>24</v>
      </c>
      <c r="K55" s="33">
        <v>0</v>
      </c>
      <c r="L55" s="79" t="str">
        <f t="shared" si="1"/>
        <v/>
      </c>
      <c r="M55" s="33">
        <v>0</v>
      </c>
      <c r="N55" s="33">
        <v>0</v>
      </c>
      <c r="O55" s="33">
        <v>0</v>
      </c>
      <c r="P55" s="15">
        <v>46237</v>
      </c>
      <c r="Q55" s="33" t="s">
        <v>98</v>
      </c>
    </row>
    <row r="56" spans="1:17" ht="30" customHeight="1" x14ac:dyDescent="0.2">
      <c r="A56" s="33" t="s">
        <v>137</v>
      </c>
      <c r="B56" s="33" t="s">
        <v>18</v>
      </c>
      <c r="C56" s="33" t="s">
        <v>19</v>
      </c>
      <c r="D56" s="34" t="s">
        <v>100</v>
      </c>
      <c r="E56" s="79" t="s">
        <v>27</v>
      </c>
      <c r="F56" s="33" t="s">
        <v>133</v>
      </c>
      <c r="G56" s="33"/>
      <c r="H56" s="45">
        <v>21</v>
      </c>
      <c r="I56" s="33" t="s">
        <v>134</v>
      </c>
      <c r="J56" s="33" t="s">
        <v>24</v>
      </c>
      <c r="K56" s="33">
        <v>0</v>
      </c>
      <c r="L56" s="79" t="str">
        <f t="shared" si="1"/>
        <v/>
      </c>
      <c r="M56" s="33">
        <v>0</v>
      </c>
      <c r="N56" s="33">
        <v>0</v>
      </c>
      <c r="O56" s="33">
        <v>0</v>
      </c>
      <c r="P56" s="15">
        <v>46237</v>
      </c>
      <c r="Q56" s="33" t="s">
        <v>98</v>
      </c>
    </row>
    <row r="57" spans="1:17" ht="45" customHeight="1" x14ac:dyDescent="0.2">
      <c r="A57" s="35" t="s">
        <v>138</v>
      </c>
      <c r="B57" s="33" t="s">
        <v>18</v>
      </c>
      <c r="C57" s="33" t="s">
        <v>19</v>
      </c>
      <c r="D57" s="34" t="s">
        <v>29</v>
      </c>
      <c r="E57" s="81" t="s">
        <v>21</v>
      </c>
      <c r="F57" s="33" t="s">
        <v>139</v>
      </c>
      <c r="G57" s="33"/>
      <c r="H57" s="45">
        <v>22</v>
      </c>
      <c r="I57" s="33" t="s">
        <v>140</v>
      </c>
      <c r="J57" s="33" t="s">
        <v>24</v>
      </c>
      <c r="K57" s="33">
        <v>0</v>
      </c>
      <c r="L57" s="79" t="str">
        <f t="shared" si="1"/>
        <v/>
      </c>
      <c r="M57" s="33">
        <v>0</v>
      </c>
      <c r="N57" s="33">
        <v>0</v>
      </c>
      <c r="O57" s="33">
        <v>0</v>
      </c>
      <c r="P57" s="15">
        <v>46237</v>
      </c>
      <c r="Q57" s="33" t="s">
        <v>141</v>
      </c>
    </row>
    <row r="58" spans="1:17" ht="30" customHeight="1" x14ac:dyDescent="0.2">
      <c r="A58" s="35" t="s">
        <v>142</v>
      </c>
      <c r="B58" s="33" t="s">
        <v>18</v>
      </c>
      <c r="C58" s="33" t="s">
        <v>53</v>
      </c>
      <c r="D58" s="34" t="s">
        <v>29</v>
      </c>
      <c r="E58" s="79" t="s">
        <v>27</v>
      </c>
      <c r="F58" s="33" t="s">
        <v>139</v>
      </c>
      <c r="G58" s="33"/>
      <c r="H58" s="45">
        <v>22</v>
      </c>
      <c r="I58" s="33" t="s">
        <v>140</v>
      </c>
      <c r="J58" s="33" t="s">
        <v>24</v>
      </c>
      <c r="K58" s="33">
        <v>0</v>
      </c>
      <c r="L58" s="79" t="str">
        <f t="shared" si="1"/>
        <v/>
      </c>
      <c r="M58" s="33">
        <v>0</v>
      </c>
      <c r="N58" s="33">
        <v>0</v>
      </c>
      <c r="O58" s="33">
        <v>0</v>
      </c>
      <c r="P58" s="15">
        <v>46237</v>
      </c>
      <c r="Q58" s="33" t="s">
        <v>98</v>
      </c>
    </row>
    <row r="59" spans="1:17" ht="30" customHeight="1" x14ac:dyDescent="0.2">
      <c r="A59" s="33" t="s">
        <v>143</v>
      </c>
      <c r="B59" s="33" t="s">
        <v>18</v>
      </c>
      <c r="C59" s="33" t="s">
        <v>19</v>
      </c>
      <c r="D59" s="34" t="s">
        <v>100</v>
      </c>
      <c r="E59" s="79" t="s">
        <v>27</v>
      </c>
      <c r="F59" s="33" t="s">
        <v>139</v>
      </c>
      <c r="G59" s="33"/>
      <c r="H59" s="45">
        <v>22</v>
      </c>
      <c r="I59" s="33" t="s">
        <v>140</v>
      </c>
      <c r="J59" s="33" t="s">
        <v>24</v>
      </c>
      <c r="K59" s="33">
        <v>0</v>
      </c>
      <c r="L59" s="79" t="str">
        <f t="shared" si="1"/>
        <v/>
      </c>
      <c r="M59" s="33">
        <v>0</v>
      </c>
      <c r="N59" s="33">
        <v>0</v>
      </c>
      <c r="O59" s="33">
        <v>0</v>
      </c>
      <c r="P59" s="15">
        <v>46237</v>
      </c>
      <c r="Q59" s="33" t="s">
        <v>98</v>
      </c>
    </row>
    <row r="60" spans="1:17" ht="60" customHeight="1" x14ac:dyDescent="0.2">
      <c r="A60" s="33" t="s">
        <v>144</v>
      </c>
      <c r="B60" s="33" t="s">
        <v>31</v>
      </c>
      <c r="C60" s="33" t="s">
        <v>53</v>
      </c>
      <c r="D60" s="34" t="s">
        <v>20</v>
      </c>
      <c r="E60" s="81" t="s">
        <v>21</v>
      </c>
      <c r="F60" s="33" t="s">
        <v>145</v>
      </c>
      <c r="G60" s="33"/>
      <c r="H60" s="45">
        <v>23</v>
      </c>
      <c r="I60" s="33" t="s">
        <v>146</v>
      </c>
      <c r="J60" s="33" t="s">
        <v>24</v>
      </c>
      <c r="K60" s="33">
        <v>0</v>
      </c>
      <c r="L60" s="79" t="str">
        <f t="shared" si="1"/>
        <v/>
      </c>
      <c r="M60" s="33">
        <v>0</v>
      </c>
      <c r="N60" s="33">
        <v>0</v>
      </c>
      <c r="O60" s="33">
        <v>0</v>
      </c>
      <c r="P60" s="15">
        <v>46237</v>
      </c>
      <c r="Q60" s="33" t="s">
        <v>147</v>
      </c>
    </row>
    <row r="61" spans="1:17" ht="30" customHeight="1" x14ac:dyDescent="0.2">
      <c r="A61" s="33" t="s">
        <v>148</v>
      </c>
      <c r="B61" s="33" t="s">
        <v>31</v>
      </c>
      <c r="C61" s="33" t="s">
        <v>53</v>
      </c>
      <c r="D61" s="34" t="s">
        <v>29</v>
      </c>
      <c r="E61" s="79" t="s">
        <v>27</v>
      </c>
      <c r="F61" s="33" t="s">
        <v>145</v>
      </c>
      <c r="G61" s="33"/>
      <c r="H61" s="45">
        <v>23</v>
      </c>
      <c r="I61" s="33" t="s">
        <v>146</v>
      </c>
      <c r="J61" s="33" t="s">
        <v>24</v>
      </c>
      <c r="K61" s="33">
        <v>0</v>
      </c>
      <c r="L61" s="79" t="str">
        <f t="shared" si="1"/>
        <v/>
      </c>
      <c r="M61" s="33">
        <v>0</v>
      </c>
      <c r="N61" s="33">
        <v>0</v>
      </c>
      <c r="O61" s="33">
        <v>0</v>
      </c>
      <c r="P61" s="15">
        <v>46237</v>
      </c>
      <c r="Q61" s="33" t="s">
        <v>98</v>
      </c>
    </row>
    <row r="62" spans="1:17" ht="30" customHeight="1" x14ac:dyDescent="0.2">
      <c r="A62" s="33" t="s">
        <v>149</v>
      </c>
      <c r="B62" s="33" t="s">
        <v>31</v>
      </c>
      <c r="C62" s="33" t="s">
        <v>45</v>
      </c>
      <c r="D62" s="34" t="s">
        <v>100</v>
      </c>
      <c r="E62" s="79" t="s">
        <v>27</v>
      </c>
      <c r="F62" s="33" t="s">
        <v>145</v>
      </c>
      <c r="G62" s="33"/>
      <c r="H62" s="45">
        <v>23</v>
      </c>
      <c r="I62" s="33" t="s">
        <v>146</v>
      </c>
      <c r="J62" s="33" t="s">
        <v>24</v>
      </c>
      <c r="K62" s="33">
        <v>0</v>
      </c>
      <c r="L62" s="79" t="str">
        <f t="shared" si="1"/>
        <v/>
      </c>
      <c r="M62" s="33">
        <v>0</v>
      </c>
      <c r="N62" s="33">
        <v>0</v>
      </c>
      <c r="O62" s="33">
        <v>0</v>
      </c>
      <c r="P62" s="15">
        <v>46237</v>
      </c>
      <c r="Q62" s="33" t="s">
        <v>98</v>
      </c>
    </row>
    <row r="63" spans="1:17" ht="30" customHeight="1" x14ac:dyDescent="0.2">
      <c r="A63" s="33" t="s">
        <v>150</v>
      </c>
      <c r="B63" s="33" t="s">
        <v>18</v>
      </c>
      <c r="C63" s="33" t="s">
        <v>19</v>
      </c>
      <c r="D63" s="34" t="s">
        <v>100</v>
      </c>
      <c r="E63" s="81" t="s">
        <v>21</v>
      </c>
      <c r="F63" s="33" t="s">
        <v>151</v>
      </c>
      <c r="G63" s="33"/>
      <c r="H63" s="45">
        <v>24</v>
      </c>
      <c r="I63" s="33" t="s">
        <v>152</v>
      </c>
      <c r="J63" s="33" t="s">
        <v>24</v>
      </c>
      <c r="K63" s="33">
        <v>0</v>
      </c>
      <c r="L63" s="79" t="str">
        <f t="shared" si="1"/>
        <v/>
      </c>
      <c r="M63" s="33">
        <v>0</v>
      </c>
      <c r="N63" s="33">
        <v>0</v>
      </c>
      <c r="O63" s="33">
        <v>0</v>
      </c>
      <c r="P63" s="15">
        <v>46237</v>
      </c>
      <c r="Q63" s="33" t="s">
        <v>153</v>
      </c>
    </row>
    <row r="64" spans="1:17" ht="30" customHeight="1" x14ac:dyDescent="0.2">
      <c r="A64" s="33" t="s">
        <v>154</v>
      </c>
      <c r="B64" s="33" t="s">
        <v>18</v>
      </c>
      <c r="C64" s="33" t="s">
        <v>19</v>
      </c>
      <c r="D64" s="34" t="s">
        <v>100</v>
      </c>
      <c r="E64" s="79" t="s">
        <v>27</v>
      </c>
      <c r="F64" s="33" t="s">
        <v>151</v>
      </c>
      <c r="G64" s="33"/>
      <c r="H64" s="45">
        <v>24</v>
      </c>
      <c r="I64" s="33" t="s">
        <v>152</v>
      </c>
      <c r="J64" s="33" t="s">
        <v>24</v>
      </c>
      <c r="K64" s="33">
        <v>0</v>
      </c>
      <c r="L64" s="79" t="str">
        <f t="shared" si="1"/>
        <v/>
      </c>
      <c r="M64" s="33">
        <v>0</v>
      </c>
      <c r="N64" s="33">
        <v>0</v>
      </c>
      <c r="O64" s="33">
        <v>0</v>
      </c>
      <c r="P64" s="15">
        <v>46237</v>
      </c>
      <c r="Q64" s="33" t="s">
        <v>98</v>
      </c>
    </row>
    <row r="65" spans="1:17" ht="30" customHeight="1" x14ac:dyDescent="0.2">
      <c r="A65" s="33" t="s">
        <v>155</v>
      </c>
      <c r="B65" s="33" t="s">
        <v>18</v>
      </c>
      <c r="C65" s="33" t="s">
        <v>19</v>
      </c>
      <c r="D65" s="34" t="s">
        <v>100</v>
      </c>
      <c r="E65" s="79" t="s">
        <v>27</v>
      </c>
      <c r="F65" s="33" t="s">
        <v>151</v>
      </c>
      <c r="G65" s="33"/>
      <c r="H65" s="45">
        <v>24</v>
      </c>
      <c r="I65" s="33" t="s">
        <v>152</v>
      </c>
      <c r="J65" s="33" t="s">
        <v>24</v>
      </c>
      <c r="K65" s="33">
        <v>0</v>
      </c>
      <c r="L65" s="79" t="str">
        <f t="shared" si="1"/>
        <v/>
      </c>
      <c r="M65" s="33">
        <v>0</v>
      </c>
      <c r="N65" s="33">
        <v>0</v>
      </c>
      <c r="O65" s="33">
        <v>0</v>
      </c>
      <c r="P65" s="15">
        <v>46237</v>
      </c>
      <c r="Q65" s="33" t="s">
        <v>98</v>
      </c>
    </row>
    <row r="66" spans="1:17" ht="30" customHeight="1" x14ac:dyDescent="0.2">
      <c r="A66" s="33" t="s">
        <v>156</v>
      </c>
      <c r="B66" s="33" t="s">
        <v>31</v>
      </c>
      <c r="C66" s="33" t="s">
        <v>53</v>
      </c>
      <c r="D66" s="34" t="s">
        <v>29</v>
      </c>
      <c r="E66" s="81" t="s">
        <v>21</v>
      </c>
      <c r="F66" s="33" t="s">
        <v>157</v>
      </c>
      <c r="G66" s="33"/>
      <c r="H66" s="45">
        <v>25</v>
      </c>
      <c r="I66" s="33" t="s">
        <v>158</v>
      </c>
      <c r="J66" s="33" t="s">
        <v>24</v>
      </c>
      <c r="K66" s="33">
        <v>0</v>
      </c>
      <c r="L66" s="79" t="str">
        <f t="shared" si="1"/>
        <v/>
      </c>
      <c r="M66" s="33">
        <v>0</v>
      </c>
      <c r="N66" s="33">
        <v>0</v>
      </c>
      <c r="O66" s="33">
        <v>0</v>
      </c>
      <c r="P66" s="15">
        <v>46237</v>
      </c>
      <c r="Q66" s="33" t="s">
        <v>159</v>
      </c>
    </row>
    <row r="67" spans="1:17" ht="30" customHeight="1" x14ac:dyDescent="0.2">
      <c r="A67" s="35" t="s">
        <v>160</v>
      </c>
      <c r="B67" s="33" t="s">
        <v>31</v>
      </c>
      <c r="C67" s="33" t="s">
        <v>45</v>
      </c>
      <c r="D67" s="34" t="s">
        <v>100</v>
      </c>
      <c r="E67" s="79" t="s">
        <v>27</v>
      </c>
      <c r="F67" s="33" t="s">
        <v>157</v>
      </c>
      <c r="G67" s="33"/>
      <c r="H67" s="45">
        <v>25</v>
      </c>
      <c r="I67" s="33" t="s">
        <v>158</v>
      </c>
      <c r="J67" s="33" t="s">
        <v>24</v>
      </c>
      <c r="K67" s="33">
        <v>0</v>
      </c>
      <c r="L67" s="79" t="str">
        <f t="shared" si="1"/>
        <v/>
      </c>
      <c r="M67" s="33">
        <v>0</v>
      </c>
      <c r="N67" s="33">
        <v>0</v>
      </c>
      <c r="O67" s="33">
        <v>0</v>
      </c>
      <c r="P67" s="15">
        <v>46237</v>
      </c>
      <c r="Q67" s="33" t="s">
        <v>98</v>
      </c>
    </row>
    <row r="68" spans="1:17" ht="30" customHeight="1" x14ac:dyDescent="0.2">
      <c r="A68" s="33" t="s">
        <v>161</v>
      </c>
      <c r="B68" s="33" t="s">
        <v>31</v>
      </c>
      <c r="C68" s="33" t="s">
        <v>53</v>
      </c>
      <c r="D68" s="34" t="s">
        <v>100</v>
      </c>
      <c r="E68" s="79" t="s">
        <v>27</v>
      </c>
      <c r="F68" s="33" t="s">
        <v>157</v>
      </c>
      <c r="G68" s="33"/>
      <c r="H68" s="45">
        <v>25</v>
      </c>
      <c r="I68" s="33" t="s">
        <v>158</v>
      </c>
      <c r="J68" s="33" t="s">
        <v>24</v>
      </c>
      <c r="K68" s="33">
        <v>0</v>
      </c>
      <c r="L68" s="79" t="str">
        <f t="shared" si="1"/>
        <v/>
      </c>
      <c r="M68" s="33">
        <v>0</v>
      </c>
      <c r="N68" s="33">
        <v>0</v>
      </c>
      <c r="O68" s="33">
        <v>0</v>
      </c>
      <c r="P68" s="15">
        <v>46237</v>
      </c>
      <c r="Q68" s="33" t="s">
        <v>98</v>
      </c>
    </row>
    <row r="69" spans="1:17" ht="30" customHeight="1" x14ac:dyDescent="0.2">
      <c r="A69" s="35" t="s">
        <v>162</v>
      </c>
      <c r="B69" s="33" t="s">
        <v>31</v>
      </c>
      <c r="C69" s="33" t="s">
        <v>53</v>
      </c>
      <c r="D69" s="34" t="s">
        <v>29</v>
      </c>
      <c r="E69" s="81" t="s">
        <v>21</v>
      </c>
      <c r="F69" s="33" t="s">
        <v>163</v>
      </c>
      <c r="G69" s="33"/>
      <c r="H69" s="45">
        <v>26</v>
      </c>
      <c r="I69" s="33" t="s">
        <v>164</v>
      </c>
      <c r="J69" s="33" t="s">
        <v>24</v>
      </c>
      <c r="K69" s="33">
        <v>0</v>
      </c>
      <c r="L69" s="79" t="str">
        <f t="shared" si="1"/>
        <v/>
      </c>
      <c r="M69" s="33">
        <v>0</v>
      </c>
      <c r="N69" s="33">
        <v>0</v>
      </c>
      <c r="O69" s="33">
        <v>0</v>
      </c>
      <c r="P69" s="15">
        <v>46237</v>
      </c>
      <c r="Q69" s="33" t="s">
        <v>165</v>
      </c>
    </row>
    <row r="70" spans="1:17" ht="30" customHeight="1" x14ac:dyDescent="0.2">
      <c r="A70" s="33" t="s">
        <v>166</v>
      </c>
      <c r="B70" s="33" t="s">
        <v>31</v>
      </c>
      <c r="C70" s="33" t="s">
        <v>45</v>
      </c>
      <c r="D70" s="34" t="s">
        <v>100</v>
      </c>
      <c r="E70" s="79" t="s">
        <v>27</v>
      </c>
      <c r="F70" s="33" t="s">
        <v>163</v>
      </c>
      <c r="G70" s="33"/>
      <c r="H70" s="45">
        <v>26</v>
      </c>
      <c r="I70" s="33" t="s">
        <v>164</v>
      </c>
      <c r="J70" s="33" t="s">
        <v>24</v>
      </c>
      <c r="K70" s="33">
        <v>0</v>
      </c>
      <c r="L70" s="79" t="str">
        <f t="shared" si="1"/>
        <v/>
      </c>
      <c r="M70" s="33">
        <v>0</v>
      </c>
      <c r="N70" s="33">
        <v>0</v>
      </c>
      <c r="O70" s="33">
        <v>0</v>
      </c>
      <c r="P70" s="15">
        <v>46237</v>
      </c>
      <c r="Q70" s="33" t="s">
        <v>98</v>
      </c>
    </row>
    <row r="71" spans="1:17" ht="30" customHeight="1" x14ac:dyDescent="0.2">
      <c r="A71" s="35" t="s">
        <v>167</v>
      </c>
      <c r="B71" s="33" t="s">
        <v>31</v>
      </c>
      <c r="C71" s="33" t="s">
        <v>53</v>
      </c>
      <c r="D71" s="34" t="s">
        <v>100</v>
      </c>
      <c r="E71" s="79" t="s">
        <v>27</v>
      </c>
      <c r="F71" s="33" t="s">
        <v>163</v>
      </c>
      <c r="G71" s="33"/>
      <c r="H71" s="45">
        <v>26</v>
      </c>
      <c r="I71" s="33" t="s">
        <v>164</v>
      </c>
      <c r="J71" s="33" t="s">
        <v>24</v>
      </c>
      <c r="K71" s="33">
        <v>0</v>
      </c>
      <c r="L71" s="79" t="str">
        <f t="shared" si="1"/>
        <v/>
      </c>
      <c r="M71" s="33">
        <v>0</v>
      </c>
      <c r="N71" s="33">
        <v>0</v>
      </c>
      <c r="O71" s="33">
        <v>0</v>
      </c>
      <c r="P71" s="15">
        <v>46237</v>
      </c>
      <c r="Q71" s="33" t="s">
        <v>98</v>
      </c>
    </row>
    <row r="72" spans="1:17" x14ac:dyDescent="0.2">
      <c r="A72" s="35" t="s">
        <v>168</v>
      </c>
      <c r="B72" s="35" t="s">
        <v>41</v>
      </c>
      <c r="C72" s="35" t="s">
        <v>42</v>
      </c>
      <c r="D72" s="40" t="s">
        <v>20</v>
      </c>
      <c r="E72" s="81" t="s">
        <v>21</v>
      </c>
      <c r="F72" s="35" t="s">
        <v>169</v>
      </c>
      <c r="G72" s="35"/>
      <c r="H72" s="43"/>
      <c r="I72" s="35" t="s">
        <v>170</v>
      </c>
      <c r="J72" s="35" t="s">
        <v>24</v>
      </c>
      <c r="K72" s="35">
        <v>0</v>
      </c>
      <c r="L72" s="79" t="str">
        <f t="shared" si="1"/>
        <v/>
      </c>
      <c r="M72" s="35">
        <v>0</v>
      </c>
      <c r="N72" s="35">
        <v>0</v>
      </c>
      <c r="O72" s="35">
        <v>0</v>
      </c>
      <c r="P72" s="15">
        <v>46237</v>
      </c>
      <c r="Q72" s="35"/>
    </row>
    <row r="73" spans="1:17" x14ac:dyDescent="0.2">
      <c r="A73" s="36" t="s">
        <v>171</v>
      </c>
      <c r="B73" s="36" t="s">
        <v>41</v>
      </c>
      <c r="C73" s="36" t="s">
        <v>42</v>
      </c>
      <c r="D73" s="40" t="s">
        <v>20</v>
      </c>
      <c r="E73" s="80" t="s">
        <v>27</v>
      </c>
      <c r="F73" s="36" t="s">
        <v>172</v>
      </c>
      <c r="G73" s="36"/>
      <c r="H73" s="43"/>
      <c r="I73" s="36" t="s">
        <v>173</v>
      </c>
      <c r="J73" s="36" t="s">
        <v>24</v>
      </c>
      <c r="K73" s="36">
        <v>0</v>
      </c>
      <c r="L73" s="80" t="str">
        <f t="shared" si="1"/>
        <v/>
      </c>
      <c r="M73" s="36">
        <v>0</v>
      </c>
      <c r="N73" s="36">
        <v>0</v>
      </c>
      <c r="O73" s="36">
        <v>0</v>
      </c>
      <c r="P73" s="15">
        <v>46237</v>
      </c>
      <c r="Q73" s="36"/>
    </row>
    <row r="74" spans="1:17" x14ac:dyDescent="0.2">
      <c r="A74" s="36" t="s">
        <v>174</v>
      </c>
      <c r="B74" s="36" t="s">
        <v>41</v>
      </c>
      <c r="C74" s="36" t="s">
        <v>42</v>
      </c>
      <c r="D74" s="40" t="s">
        <v>20</v>
      </c>
      <c r="E74" s="80" t="s">
        <v>27</v>
      </c>
      <c r="F74" s="36" t="s">
        <v>169</v>
      </c>
      <c r="G74" s="36"/>
      <c r="H74" s="43"/>
      <c r="I74" s="36" t="s">
        <v>173</v>
      </c>
      <c r="J74" s="36" t="s">
        <v>24</v>
      </c>
      <c r="K74" s="36">
        <v>0</v>
      </c>
      <c r="L74" s="80" t="str">
        <f t="shared" si="1"/>
        <v/>
      </c>
      <c r="M74" s="36">
        <v>0</v>
      </c>
      <c r="N74" s="36">
        <v>0</v>
      </c>
      <c r="O74" s="36">
        <v>0</v>
      </c>
      <c r="P74" s="15">
        <v>46237</v>
      </c>
      <c r="Q74" s="36"/>
    </row>
    <row r="75" spans="1:17" x14ac:dyDescent="0.2">
      <c r="A75" s="36" t="s">
        <v>175</v>
      </c>
      <c r="B75" s="36" t="s">
        <v>31</v>
      </c>
      <c r="C75" s="36" t="s">
        <v>32</v>
      </c>
      <c r="D75" s="40" t="s">
        <v>20</v>
      </c>
      <c r="E75" s="80" t="s">
        <v>27</v>
      </c>
      <c r="F75" s="36" t="s">
        <v>176</v>
      </c>
      <c r="G75" s="36"/>
      <c r="H75" s="43"/>
      <c r="I75" s="36" t="s">
        <v>173</v>
      </c>
      <c r="J75" s="36" t="s">
        <v>24</v>
      </c>
      <c r="K75" s="36">
        <v>0</v>
      </c>
      <c r="L75" s="80" t="str">
        <f t="shared" si="1"/>
        <v/>
      </c>
      <c r="M75" s="36">
        <v>0</v>
      </c>
      <c r="N75" s="36">
        <v>0</v>
      </c>
      <c r="O75" s="36">
        <v>0</v>
      </c>
      <c r="P75" s="15">
        <v>46237</v>
      </c>
      <c r="Q75" s="36"/>
    </row>
    <row r="76" spans="1:17" x14ac:dyDescent="0.2">
      <c r="A76" s="36" t="s">
        <v>177</v>
      </c>
      <c r="B76" s="36" t="s">
        <v>31</v>
      </c>
      <c r="C76" s="36" t="s">
        <v>45</v>
      </c>
      <c r="D76" s="39" t="s">
        <v>29</v>
      </c>
      <c r="E76" s="78" t="s">
        <v>21</v>
      </c>
      <c r="F76" s="36" t="s">
        <v>178</v>
      </c>
      <c r="G76" s="36"/>
      <c r="H76" s="43"/>
      <c r="I76" s="36" t="s">
        <v>179</v>
      </c>
      <c r="J76" s="36" t="s">
        <v>24</v>
      </c>
      <c r="K76" s="36">
        <v>0</v>
      </c>
      <c r="L76" s="80" t="str">
        <f t="shared" si="1"/>
        <v/>
      </c>
      <c r="M76" s="36">
        <v>0</v>
      </c>
      <c r="N76" s="36">
        <v>0</v>
      </c>
      <c r="O76" s="36">
        <v>0</v>
      </c>
      <c r="P76" s="15">
        <v>46237</v>
      </c>
      <c r="Q76" s="36"/>
    </row>
    <row r="77" spans="1:17" x14ac:dyDescent="0.2">
      <c r="A77" s="35" t="s">
        <v>180</v>
      </c>
      <c r="B77" s="35" t="s">
        <v>31</v>
      </c>
      <c r="C77" s="35" t="s">
        <v>53</v>
      </c>
      <c r="D77" s="39" t="s">
        <v>29</v>
      </c>
      <c r="E77" s="81" t="s">
        <v>21</v>
      </c>
      <c r="F77" s="35" t="s">
        <v>181</v>
      </c>
      <c r="G77" s="35"/>
      <c r="H77" s="43"/>
      <c r="I77" s="35" t="s">
        <v>179</v>
      </c>
      <c r="J77" s="35" t="s">
        <v>24</v>
      </c>
      <c r="K77" s="35">
        <v>0</v>
      </c>
      <c r="L77" s="79" t="str">
        <f t="shared" si="1"/>
        <v/>
      </c>
      <c r="M77" s="35">
        <v>0</v>
      </c>
      <c r="N77" s="35">
        <v>0</v>
      </c>
      <c r="O77" s="35">
        <v>0</v>
      </c>
      <c r="P77" s="15">
        <v>46237</v>
      </c>
      <c r="Q77" s="35"/>
    </row>
    <row r="78" spans="1:17" x14ac:dyDescent="0.2">
      <c r="A78" s="36" t="s">
        <v>182</v>
      </c>
      <c r="B78" s="36" t="s">
        <v>31</v>
      </c>
      <c r="C78" s="36" t="s">
        <v>45</v>
      </c>
      <c r="D78" s="41" t="s">
        <v>100</v>
      </c>
      <c r="E78" s="78" t="s">
        <v>21</v>
      </c>
      <c r="F78" s="36" t="s">
        <v>183</v>
      </c>
      <c r="G78" s="36"/>
      <c r="H78" s="43"/>
      <c r="I78" s="36" t="s">
        <v>179</v>
      </c>
      <c r="J78" s="36" t="s">
        <v>24</v>
      </c>
      <c r="K78" s="36">
        <v>0</v>
      </c>
      <c r="L78" s="80" t="str">
        <f t="shared" si="1"/>
        <v/>
      </c>
      <c r="M78" s="36">
        <v>0</v>
      </c>
      <c r="N78" s="36">
        <v>0</v>
      </c>
      <c r="O78" s="36">
        <v>0</v>
      </c>
      <c r="P78" s="15">
        <v>46237</v>
      </c>
      <c r="Q78" s="36"/>
    </row>
    <row r="79" spans="1:17" x14ac:dyDescent="0.2">
      <c r="A79" s="35" t="s">
        <v>184</v>
      </c>
      <c r="B79" s="35" t="s">
        <v>31</v>
      </c>
      <c r="C79" s="35" t="s">
        <v>19</v>
      </c>
      <c r="D79" s="41" t="s">
        <v>100</v>
      </c>
      <c r="E79" s="81" t="s">
        <v>21</v>
      </c>
      <c r="F79" s="35" t="s">
        <v>183</v>
      </c>
      <c r="G79" s="35"/>
      <c r="H79" s="43"/>
      <c r="I79" s="35" t="s">
        <v>179</v>
      </c>
      <c r="J79" s="35" t="s">
        <v>24</v>
      </c>
      <c r="K79" s="35">
        <v>0</v>
      </c>
      <c r="L79" s="79" t="str">
        <f t="shared" si="1"/>
        <v/>
      </c>
      <c r="M79" s="35">
        <v>0</v>
      </c>
      <c r="N79" s="35">
        <v>0</v>
      </c>
      <c r="O79" s="35">
        <v>0</v>
      </c>
      <c r="P79" s="15">
        <v>46237</v>
      </c>
      <c r="Q79" s="35"/>
    </row>
    <row r="80" spans="1:17" x14ac:dyDescent="0.2">
      <c r="A80" s="35" t="s">
        <v>185</v>
      </c>
      <c r="B80" s="35" t="s">
        <v>37</v>
      </c>
      <c r="C80" s="35" t="s">
        <v>19</v>
      </c>
      <c r="D80" s="40" t="s">
        <v>20</v>
      </c>
      <c r="E80" s="79" t="s">
        <v>27</v>
      </c>
      <c r="F80" s="35" t="s">
        <v>176</v>
      </c>
      <c r="G80" s="35"/>
      <c r="H80" s="43"/>
      <c r="I80" s="35" t="s">
        <v>173</v>
      </c>
      <c r="J80" s="35" t="s">
        <v>24</v>
      </c>
      <c r="K80" s="35">
        <v>0</v>
      </c>
      <c r="L80" s="79" t="str">
        <f t="shared" si="1"/>
        <v/>
      </c>
      <c r="M80" s="35">
        <v>0</v>
      </c>
      <c r="N80" s="35">
        <v>0</v>
      </c>
      <c r="O80" s="35">
        <v>0</v>
      </c>
      <c r="P80" s="15">
        <v>46237</v>
      </c>
      <c r="Q80" s="35"/>
    </row>
    <row r="81" spans="1:17" x14ac:dyDescent="0.2">
      <c r="A81" s="35" t="s">
        <v>186</v>
      </c>
      <c r="B81" s="35" t="s">
        <v>37</v>
      </c>
      <c r="C81" s="35" t="s">
        <v>19</v>
      </c>
      <c r="D81" s="39" t="s">
        <v>29</v>
      </c>
      <c r="E81" s="81" t="s">
        <v>21</v>
      </c>
      <c r="F81" s="35" t="s">
        <v>187</v>
      </c>
      <c r="G81" s="35"/>
      <c r="H81" s="43"/>
      <c r="I81" s="35" t="s">
        <v>179</v>
      </c>
      <c r="J81" s="35" t="s">
        <v>24</v>
      </c>
      <c r="K81" s="35">
        <v>0</v>
      </c>
      <c r="L81" s="79" t="str">
        <f t="shared" si="1"/>
        <v/>
      </c>
      <c r="M81" s="35">
        <v>0</v>
      </c>
      <c r="N81" s="35">
        <v>0</v>
      </c>
      <c r="O81" s="35">
        <v>0</v>
      </c>
      <c r="P81" s="15">
        <v>46237</v>
      </c>
      <c r="Q81" s="35"/>
    </row>
    <row r="82" spans="1:17" ht="30" customHeight="1" x14ac:dyDescent="0.2">
      <c r="A82" s="35" t="s">
        <v>188</v>
      </c>
      <c r="B82" s="35" t="s">
        <v>47</v>
      </c>
      <c r="C82" s="35" t="s">
        <v>45</v>
      </c>
      <c r="D82" s="39" t="s">
        <v>29</v>
      </c>
      <c r="E82" s="79" t="s">
        <v>27</v>
      </c>
      <c r="F82" s="35" t="s">
        <v>43</v>
      </c>
      <c r="G82" s="35"/>
      <c r="H82" s="43"/>
      <c r="I82" s="35" t="s">
        <v>173</v>
      </c>
      <c r="J82" s="35" t="s">
        <v>24</v>
      </c>
      <c r="K82" s="35">
        <v>0</v>
      </c>
      <c r="L82" s="79" t="str">
        <f t="shared" si="1"/>
        <v/>
      </c>
      <c r="M82" s="35">
        <v>0</v>
      </c>
      <c r="N82" s="35">
        <v>0</v>
      </c>
      <c r="O82" s="35">
        <v>0</v>
      </c>
      <c r="P82" s="15">
        <v>46237</v>
      </c>
      <c r="Q82" s="35" t="s">
        <v>25</v>
      </c>
    </row>
    <row r="83" spans="1:17" x14ac:dyDescent="0.2">
      <c r="A83" s="36" t="s">
        <v>189</v>
      </c>
      <c r="B83" s="36" t="s">
        <v>79</v>
      </c>
      <c r="C83" s="36" t="s">
        <v>190</v>
      </c>
      <c r="D83" s="40" t="s">
        <v>20</v>
      </c>
      <c r="E83" s="80" t="s">
        <v>27</v>
      </c>
      <c r="F83" s="36" t="s">
        <v>169</v>
      </c>
      <c r="G83" s="36"/>
      <c r="H83" s="43"/>
      <c r="I83" s="36" t="s">
        <v>191</v>
      </c>
      <c r="J83" s="36" t="s">
        <v>24</v>
      </c>
      <c r="K83" s="36">
        <v>0</v>
      </c>
      <c r="L83" s="80" t="str">
        <f t="shared" si="1"/>
        <v/>
      </c>
      <c r="M83" s="36">
        <v>0</v>
      </c>
      <c r="N83" s="36">
        <v>0</v>
      </c>
      <c r="O83" s="36">
        <v>0</v>
      </c>
      <c r="P83" s="15">
        <v>46237</v>
      </c>
      <c r="Q83" s="36"/>
    </row>
  </sheetData>
  <autoFilter ref="A1:Q83" xr:uid="{00000000-0009-0000-0000-000003000000}">
    <sortState xmlns:xlrd2="http://schemas.microsoft.com/office/spreadsheetml/2017/richdata2" ref="A2:O83">
      <sortCondition ref="G1:G83"/>
    </sortState>
  </autoFilter>
  <conditionalFormatting sqref="L2:L83">
    <cfRule type="expression" dxfId="0" priority="1">
      <formula>$L2="Striking distance"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
  <sheetViews>
    <sheetView topLeftCell="A47" workbookViewId="0">
      <selection activeCell="F65" sqref="F65"/>
    </sheetView>
  </sheetViews>
  <sheetFormatPr baseColWidth="10" defaultRowHeight="15" x14ac:dyDescent="0.2"/>
  <cols>
    <col min="1" max="1" width="28.6640625" customWidth="1"/>
    <col min="2" max="2" width="32.5" customWidth="1"/>
  </cols>
  <sheetData>
    <row r="1" spans="1:1" ht="17" customHeight="1" x14ac:dyDescent="0.2">
      <c r="A1" s="29" t="s">
        <v>284</v>
      </c>
    </row>
    <row r="3" spans="1:1" ht="17" customHeight="1" x14ac:dyDescent="0.2">
      <c r="A3" s="29" t="s">
        <v>285</v>
      </c>
    </row>
    <row r="5" spans="1:1" ht="23" customHeight="1" x14ac:dyDescent="0.25">
      <c r="A5" s="30" t="s">
        <v>286</v>
      </c>
    </row>
    <row r="7" spans="1:1" ht="17" customHeight="1" x14ac:dyDescent="0.2">
      <c r="A7" s="29" t="s">
        <v>287</v>
      </c>
    </row>
    <row r="9" spans="1:1" ht="17" customHeight="1" x14ac:dyDescent="0.2">
      <c r="A9" s="31" t="s">
        <v>288</v>
      </c>
    </row>
    <row r="10" spans="1:1" ht="17" customHeight="1" x14ac:dyDescent="0.2">
      <c r="A10" s="31" t="s">
        <v>289</v>
      </c>
    </row>
    <row r="12" spans="1:1" ht="23" customHeight="1" x14ac:dyDescent="0.25">
      <c r="A12" s="30" t="s">
        <v>290</v>
      </c>
    </row>
    <row r="14" spans="1:1" ht="17" customHeight="1" x14ac:dyDescent="0.2">
      <c r="A14" s="29" t="s">
        <v>291</v>
      </c>
    </row>
    <row r="16" spans="1:1" ht="17" customHeight="1" x14ac:dyDescent="0.2">
      <c r="A16" s="29" t="s">
        <v>292</v>
      </c>
    </row>
    <row r="17" spans="1:3" ht="17" customHeight="1" x14ac:dyDescent="0.2">
      <c r="A17" s="29" t="s">
        <v>293</v>
      </c>
    </row>
    <row r="19" spans="1:3" ht="23" customHeight="1" x14ac:dyDescent="0.25">
      <c r="A19" s="30" t="s">
        <v>294</v>
      </c>
    </row>
    <row r="21" spans="1:3" ht="17" customHeight="1" x14ac:dyDescent="0.2">
      <c r="A21" s="29" t="s">
        <v>295</v>
      </c>
    </row>
    <row r="22" spans="1:3" ht="17" customHeight="1" x14ac:dyDescent="0.2">
      <c r="A22" s="31" t="s">
        <v>296</v>
      </c>
      <c r="B22" s="31" t="s">
        <v>297</v>
      </c>
      <c r="C22" s="31" t="s">
        <v>298</v>
      </c>
    </row>
    <row r="23" spans="1:3" ht="17" customHeight="1" x14ac:dyDescent="0.2">
      <c r="A23" s="31" t="s">
        <v>299</v>
      </c>
      <c r="B23" s="29" t="s">
        <v>300</v>
      </c>
      <c r="C23" s="29" t="s">
        <v>301</v>
      </c>
    </row>
    <row r="24" spans="1:3" ht="17" customHeight="1" x14ac:dyDescent="0.2">
      <c r="A24" s="32">
        <v>46122</v>
      </c>
      <c r="B24" s="29" t="s">
        <v>302</v>
      </c>
      <c r="C24" s="29" t="s">
        <v>303</v>
      </c>
    </row>
    <row r="25" spans="1:3" ht="17" customHeight="1" x14ac:dyDescent="0.2">
      <c r="A25" s="32">
        <v>46025</v>
      </c>
      <c r="B25" s="29" t="s">
        <v>304</v>
      </c>
      <c r="C25" s="29" t="s">
        <v>305</v>
      </c>
    </row>
    <row r="26" spans="1:3" ht="17" customHeight="1" x14ac:dyDescent="0.2">
      <c r="A26" s="31" t="s">
        <v>306</v>
      </c>
      <c r="B26" s="29" t="s">
        <v>307</v>
      </c>
      <c r="C26" s="29" t="s">
        <v>308</v>
      </c>
    </row>
    <row r="28" spans="1:3" ht="23" customHeight="1" x14ac:dyDescent="0.25">
      <c r="A28" s="30" t="s">
        <v>309</v>
      </c>
    </row>
    <row r="30" spans="1:3" ht="17" customHeight="1" x14ac:dyDescent="0.2">
      <c r="A30" s="29" t="s">
        <v>310</v>
      </c>
    </row>
    <row r="32" spans="1:3" ht="23" customHeight="1" x14ac:dyDescent="0.25">
      <c r="A32" s="30" t="s">
        <v>311</v>
      </c>
    </row>
    <row r="34" spans="1:1" ht="17" customHeight="1" x14ac:dyDescent="0.2">
      <c r="A34" s="29" t="s">
        <v>312</v>
      </c>
    </row>
    <row r="36" spans="1:1" ht="17" customHeight="1" x14ac:dyDescent="0.2">
      <c r="A36" s="29" t="s">
        <v>313</v>
      </c>
    </row>
    <row r="37" spans="1:1" ht="17" customHeight="1" x14ac:dyDescent="0.2">
      <c r="A37" s="29" t="s">
        <v>314</v>
      </c>
    </row>
    <row r="38" spans="1:1" ht="17" customHeight="1" x14ac:dyDescent="0.2">
      <c r="A38" s="29" t="s">
        <v>315</v>
      </c>
    </row>
    <row r="40" spans="1:1" ht="23" customHeight="1" x14ac:dyDescent="0.25">
      <c r="A40" s="30" t="s">
        <v>316</v>
      </c>
    </row>
    <row r="42" spans="1:1" ht="17" customHeight="1" x14ac:dyDescent="0.2">
      <c r="A42" s="31" t="s">
        <v>317</v>
      </c>
    </row>
    <row r="43" spans="1:1" ht="17" customHeight="1" x14ac:dyDescent="0.2">
      <c r="A43" s="31" t="s">
        <v>318</v>
      </c>
    </row>
    <row r="47" spans="1:1" ht="17" customHeight="1" x14ac:dyDescent="0.2">
      <c r="A47" s="31" t="s">
        <v>319</v>
      </c>
    </row>
    <row r="48" spans="1:1" ht="17" customHeight="1" x14ac:dyDescent="0.2">
      <c r="A48" s="29" t="s">
        <v>320</v>
      </c>
    </row>
    <row r="52" spans="1:2" ht="17" customHeight="1" x14ac:dyDescent="0.2">
      <c r="A52" s="75" t="s">
        <v>321</v>
      </c>
      <c r="B52" s="75" t="s">
        <v>322</v>
      </c>
    </row>
    <row r="53" spans="1:2" ht="36" customHeight="1" x14ac:dyDescent="0.2">
      <c r="A53" s="75" t="s">
        <v>323</v>
      </c>
      <c r="B53" s="76" t="s">
        <v>324</v>
      </c>
    </row>
    <row r="54" spans="1:2" ht="18" customHeight="1" x14ac:dyDescent="0.2">
      <c r="A54" s="75" t="s">
        <v>325</v>
      </c>
      <c r="B54" s="76" t="s">
        <v>326</v>
      </c>
    </row>
    <row r="55" spans="1:2" ht="18" customHeight="1" x14ac:dyDescent="0.2">
      <c r="A55" s="75" t="s">
        <v>327</v>
      </c>
      <c r="B55" s="76" t="s">
        <v>21</v>
      </c>
    </row>
    <row r="56" spans="1:2" ht="54" customHeight="1" x14ac:dyDescent="0.2">
      <c r="A56" s="75" t="s">
        <v>328</v>
      </c>
      <c r="B56" s="76" t="s">
        <v>329</v>
      </c>
    </row>
    <row r="57" spans="1:2" ht="18" customHeight="1" x14ac:dyDescent="0.2">
      <c r="A57" s="75" t="s">
        <v>330</v>
      </c>
      <c r="B57" s="76" t="s">
        <v>21</v>
      </c>
    </row>
    <row r="58" spans="1:2" ht="36" customHeight="1" x14ac:dyDescent="0.2">
      <c r="A58" s="75" t="s">
        <v>331</v>
      </c>
      <c r="B58" s="76" t="s">
        <v>332</v>
      </c>
    </row>
    <row r="59" spans="1:2" ht="36" customHeight="1" x14ac:dyDescent="0.2">
      <c r="A59" s="75" t="s">
        <v>333</v>
      </c>
      <c r="B59" s="76" t="s">
        <v>334</v>
      </c>
    </row>
    <row r="60" spans="1:2" ht="36" customHeight="1" x14ac:dyDescent="0.2">
      <c r="A60" s="75" t="s">
        <v>335</v>
      </c>
      <c r="B60" s="76" t="s">
        <v>336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showGridLines="0" zoomScale="160" zoomScaleNormal="160" workbookViewId="0">
      <pane ySplit="1" topLeftCell="A2"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337</v>
      </c>
      <c r="B1" s="11" t="s">
        <v>0</v>
      </c>
      <c r="C1" s="11" t="s">
        <v>338</v>
      </c>
      <c r="D1" s="11" t="s">
        <v>339</v>
      </c>
    </row>
    <row r="2" spans="1:4" ht="36" customHeight="1" x14ac:dyDescent="0.2">
      <c r="A2" s="12" t="s">
        <v>340</v>
      </c>
      <c r="B2" s="12" t="s">
        <v>59</v>
      </c>
      <c r="C2" s="12" t="s">
        <v>341</v>
      </c>
      <c r="D2" s="12" t="s">
        <v>342</v>
      </c>
    </row>
    <row r="3" spans="1:4" ht="36" customHeight="1" x14ac:dyDescent="0.2">
      <c r="A3" s="9" t="s">
        <v>343</v>
      </c>
      <c r="B3" s="9" t="s">
        <v>65</v>
      </c>
      <c r="C3" s="9" t="s">
        <v>344</v>
      </c>
      <c r="D3" s="9" t="s">
        <v>345</v>
      </c>
    </row>
    <row r="4" spans="1:4" ht="36" customHeight="1" x14ac:dyDescent="0.2">
      <c r="A4" s="12" t="s">
        <v>346</v>
      </c>
      <c r="B4" s="12" t="s">
        <v>46</v>
      </c>
      <c r="C4" s="12" t="s">
        <v>347</v>
      </c>
      <c r="D4" s="12" t="s">
        <v>348</v>
      </c>
    </row>
    <row r="5" spans="1:4" ht="36" customHeight="1" x14ac:dyDescent="0.2">
      <c r="A5" s="9" t="s">
        <v>349</v>
      </c>
      <c r="B5" s="9" t="s">
        <v>57</v>
      </c>
      <c r="C5" s="9" t="s">
        <v>350</v>
      </c>
      <c r="D5" s="9" t="s">
        <v>351</v>
      </c>
    </row>
    <row r="6" spans="1:4" ht="36" customHeight="1" x14ac:dyDescent="0.2">
      <c r="A6" s="12" t="s">
        <v>352</v>
      </c>
      <c r="B6" s="12" t="s">
        <v>17</v>
      </c>
      <c r="C6" s="12" t="s">
        <v>353</v>
      </c>
      <c r="D6" s="12" t="s">
        <v>354</v>
      </c>
    </row>
    <row r="7" spans="1:4" ht="36" customHeight="1" x14ac:dyDescent="0.2">
      <c r="A7" s="9" t="s">
        <v>355</v>
      </c>
      <c r="B7" s="9" t="s">
        <v>89</v>
      </c>
      <c r="C7" s="9" t="s">
        <v>356</v>
      </c>
      <c r="D7" s="9" t="s">
        <v>357</v>
      </c>
    </row>
    <row r="8" spans="1:4" ht="36" customHeight="1" x14ac:dyDescent="0.2">
      <c r="A8" s="12" t="s">
        <v>358</v>
      </c>
      <c r="B8" s="12" t="s">
        <v>92</v>
      </c>
      <c r="C8" s="12" t="s">
        <v>356</v>
      </c>
      <c r="D8" s="12" t="s">
        <v>359</v>
      </c>
    </row>
    <row r="9" spans="1:4" ht="36" customHeight="1" x14ac:dyDescent="0.2">
      <c r="A9" s="9" t="s">
        <v>360</v>
      </c>
      <c r="B9" s="9" t="s">
        <v>78</v>
      </c>
      <c r="C9" s="9" t="s">
        <v>361</v>
      </c>
      <c r="D9" s="9" t="s">
        <v>362</v>
      </c>
    </row>
    <row r="10" spans="1:4" ht="36" customHeight="1" x14ac:dyDescent="0.2">
      <c r="A10" s="12" t="s">
        <v>363</v>
      </c>
      <c r="B10" s="12" t="s">
        <v>83</v>
      </c>
      <c r="C10" s="12" t="s">
        <v>364</v>
      </c>
      <c r="D10" s="12" t="s">
        <v>365</v>
      </c>
    </row>
    <row r="11" spans="1:4" ht="36" customHeight="1" x14ac:dyDescent="0.2">
      <c r="A11" s="9" t="s">
        <v>366</v>
      </c>
      <c r="B11" s="9" t="s">
        <v>189</v>
      </c>
      <c r="C11" s="9" t="s">
        <v>367</v>
      </c>
      <c r="D11" s="9" t="s">
        <v>368</v>
      </c>
    </row>
    <row r="12" spans="1:4" ht="255" customHeight="1" x14ac:dyDescent="0.2">
      <c r="A12" s="90" t="s">
        <v>369</v>
      </c>
      <c r="B12" s="90"/>
      <c r="C12" s="90"/>
      <c r="D12" s="90"/>
    </row>
    <row r="13" spans="1:4" ht="30" customHeight="1" x14ac:dyDescent="0.2">
      <c r="A13" s="91" t="s">
        <v>370</v>
      </c>
      <c r="B13" s="92" t="s">
        <v>371</v>
      </c>
      <c r="C13" s="92" t="s">
        <v>372</v>
      </c>
      <c r="D13" s="92" t="s">
        <v>373</v>
      </c>
    </row>
    <row r="14" spans="1:4" ht="30" customHeight="1" x14ac:dyDescent="0.2">
      <c r="A14" s="93" t="s">
        <v>374</v>
      </c>
      <c r="B14" s="94" t="s">
        <v>375</v>
      </c>
      <c r="C14" s="94" t="s">
        <v>376</v>
      </c>
      <c r="D14" s="94" t="s">
        <v>377</v>
      </c>
    </row>
    <row r="15" spans="1:4" ht="30" customHeight="1" x14ac:dyDescent="0.2">
      <c r="A15" s="91" t="s">
        <v>378</v>
      </c>
      <c r="B15" s="92" t="s">
        <v>379</v>
      </c>
      <c r="C15" s="92" t="s">
        <v>380</v>
      </c>
      <c r="D15" s="92" t="s">
        <v>381</v>
      </c>
    </row>
    <row r="16" spans="1:4" x14ac:dyDescent="0.2">
      <c r="A16" s="93" t="s">
        <v>382</v>
      </c>
      <c r="B16" s="94" t="s">
        <v>383</v>
      </c>
      <c r="C16" s="94" t="s">
        <v>384</v>
      </c>
      <c r="D16" s="94" t="s">
        <v>385</v>
      </c>
    </row>
    <row r="17" spans="1:4" ht="45" x14ac:dyDescent="0.2">
      <c r="A17" s="93" t="s">
        <v>386</v>
      </c>
      <c r="B17" s="94" t="s">
        <v>387</v>
      </c>
      <c r="C17" s="94" t="s">
        <v>388</v>
      </c>
      <c r="D17" s="94" t="s">
        <v>389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showGridLines="0" tabSelected="1" workbookViewId="0">
      <pane xSplit="1" ySplit="1" topLeftCell="B2" activePane="bottomRight" state="frozen"/>
      <selection activeCell="F19" sqref="F19"/>
      <selection pane="topRight" activeCell="F19" sqref="F19"/>
      <selection pane="bottomLeft" activeCell="F19" sqref="F19"/>
      <selection pane="bottomRight" activeCell="G42" sqref="G42"/>
    </sheetView>
  </sheetViews>
  <sheetFormatPr baseColWidth="10" defaultColWidth="8.83203125" defaultRowHeight="15" x14ac:dyDescent="0.2"/>
  <cols>
    <col min="1" max="1" width="62.83203125" bestFit="1"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3" t="s">
        <v>390</v>
      </c>
      <c r="B1" s="23" t="s">
        <v>391</v>
      </c>
      <c r="C1" s="23" t="s">
        <v>392</v>
      </c>
      <c r="D1" s="23" t="s">
        <v>393</v>
      </c>
      <c r="E1" s="23" t="s">
        <v>394</v>
      </c>
      <c r="F1" s="23" t="s">
        <v>395</v>
      </c>
      <c r="G1" s="23" t="s">
        <v>396</v>
      </c>
      <c r="H1" s="23" t="s">
        <v>16</v>
      </c>
    </row>
    <row r="2" spans="1:8" ht="34" customHeight="1" x14ac:dyDescent="0.2">
      <c r="A2" s="24" t="s">
        <v>169</v>
      </c>
      <c r="B2" s="24" t="s">
        <v>367</v>
      </c>
      <c r="C2" s="24" t="s">
        <v>397</v>
      </c>
      <c r="D2" s="25" t="s">
        <v>398</v>
      </c>
      <c r="E2" s="24" t="s">
        <v>399</v>
      </c>
      <c r="F2" s="24" t="s">
        <v>400</v>
      </c>
      <c r="G2" s="24" t="s">
        <v>401</v>
      </c>
      <c r="H2" s="24" t="s">
        <v>402</v>
      </c>
    </row>
    <row r="3" spans="1:8" ht="34" customHeight="1" x14ac:dyDescent="0.2">
      <c r="A3" s="26" t="s">
        <v>403</v>
      </c>
      <c r="B3" s="26" t="s">
        <v>404</v>
      </c>
      <c r="C3" s="26" t="s">
        <v>405</v>
      </c>
      <c r="D3" s="86" t="s">
        <v>406</v>
      </c>
      <c r="E3" s="26" t="s">
        <v>407</v>
      </c>
      <c r="F3" s="26" t="s">
        <v>408</v>
      </c>
      <c r="G3" s="26" t="s">
        <v>409</v>
      </c>
      <c r="H3" s="26" t="s">
        <v>410</v>
      </c>
    </row>
    <row r="4" spans="1:8" ht="34" customHeight="1" x14ac:dyDescent="0.2">
      <c r="A4" s="24" t="s">
        <v>411</v>
      </c>
      <c r="B4" s="24" t="s">
        <v>412</v>
      </c>
      <c r="C4" s="24" t="s">
        <v>413</v>
      </c>
      <c r="D4" s="25" t="s">
        <v>398</v>
      </c>
      <c r="E4" s="24" t="s">
        <v>414</v>
      </c>
      <c r="F4" s="24" t="s">
        <v>400</v>
      </c>
      <c r="G4" s="24" t="s">
        <v>415</v>
      </c>
      <c r="H4" s="24" t="s">
        <v>416</v>
      </c>
    </row>
    <row r="5" spans="1:8" ht="34" customHeight="1" x14ac:dyDescent="0.2">
      <c r="A5" s="26" t="s">
        <v>417</v>
      </c>
      <c r="B5" s="26" t="s">
        <v>412</v>
      </c>
      <c r="C5" s="26" t="s">
        <v>418</v>
      </c>
      <c r="D5" s="25" t="s">
        <v>398</v>
      </c>
      <c r="E5" s="26" t="s">
        <v>414</v>
      </c>
      <c r="F5" s="26" t="s">
        <v>400</v>
      </c>
      <c r="G5" s="26" t="s">
        <v>419</v>
      </c>
      <c r="H5" s="26" t="s">
        <v>416</v>
      </c>
    </row>
    <row r="6" spans="1:8" ht="34" customHeight="1" x14ac:dyDescent="0.2">
      <c r="A6" s="24" t="s">
        <v>420</v>
      </c>
      <c r="B6" s="24" t="s">
        <v>421</v>
      </c>
      <c r="C6" s="24" t="s">
        <v>422</v>
      </c>
      <c r="D6" s="25" t="s">
        <v>398</v>
      </c>
      <c r="E6" s="24" t="s">
        <v>423</v>
      </c>
      <c r="F6" s="24" t="s">
        <v>400</v>
      </c>
      <c r="G6" s="24" t="s">
        <v>424</v>
      </c>
      <c r="H6" s="24" t="s">
        <v>416</v>
      </c>
    </row>
    <row r="7" spans="1:8" ht="34" customHeight="1" x14ac:dyDescent="0.2">
      <c r="A7" s="26" t="s">
        <v>425</v>
      </c>
      <c r="B7" s="26" t="s">
        <v>426</v>
      </c>
      <c r="C7" s="26" t="s">
        <v>427</v>
      </c>
      <c r="D7" s="25" t="s">
        <v>398</v>
      </c>
      <c r="E7" s="26" t="s">
        <v>399</v>
      </c>
      <c r="F7" s="26" t="s">
        <v>400</v>
      </c>
      <c r="G7" s="26" t="s">
        <v>428</v>
      </c>
      <c r="H7" s="26" t="s">
        <v>429</v>
      </c>
    </row>
    <row r="8" spans="1:8" ht="34" customHeight="1" x14ac:dyDescent="0.2">
      <c r="A8" s="24" t="s">
        <v>430</v>
      </c>
      <c r="B8" s="24" t="s">
        <v>431</v>
      </c>
      <c r="C8" s="24" t="s">
        <v>432</v>
      </c>
      <c r="D8" s="25" t="s">
        <v>398</v>
      </c>
      <c r="E8" s="24" t="s">
        <v>399</v>
      </c>
      <c r="F8" s="24" t="s">
        <v>400</v>
      </c>
      <c r="G8" s="24" t="s">
        <v>433</v>
      </c>
      <c r="H8" s="24" t="s">
        <v>429</v>
      </c>
    </row>
    <row r="9" spans="1:8" ht="34" customHeight="1" x14ac:dyDescent="0.2">
      <c r="A9" s="26" t="s">
        <v>434</v>
      </c>
      <c r="B9" s="26" t="s">
        <v>431</v>
      </c>
      <c r="C9" s="26" t="s">
        <v>432</v>
      </c>
      <c r="D9" s="25" t="s">
        <v>398</v>
      </c>
      <c r="E9" s="26" t="s">
        <v>435</v>
      </c>
      <c r="F9" s="26" t="s">
        <v>400</v>
      </c>
      <c r="G9" s="26" t="s">
        <v>433</v>
      </c>
      <c r="H9" s="26" t="s">
        <v>429</v>
      </c>
    </row>
    <row r="10" spans="1:8" ht="34" customHeight="1" x14ac:dyDescent="0.2">
      <c r="A10" s="24" t="s">
        <v>436</v>
      </c>
      <c r="B10" s="24" t="s">
        <v>437</v>
      </c>
      <c r="C10" s="24" t="s">
        <v>438</v>
      </c>
      <c r="D10" s="25" t="s">
        <v>398</v>
      </c>
      <c r="E10" s="24" t="s">
        <v>439</v>
      </c>
      <c r="F10" s="24" t="s">
        <v>400</v>
      </c>
      <c r="G10" s="24" t="s">
        <v>440</v>
      </c>
      <c r="H10" s="24" t="s">
        <v>416</v>
      </c>
    </row>
    <row r="11" spans="1:8" ht="34" customHeight="1" x14ac:dyDescent="0.2">
      <c r="A11" s="26" t="s">
        <v>441</v>
      </c>
      <c r="B11" s="26" t="s">
        <v>442</v>
      </c>
      <c r="C11" s="26" t="s">
        <v>443</v>
      </c>
      <c r="D11" s="86" t="s">
        <v>444</v>
      </c>
      <c r="E11" s="26" t="s">
        <v>445</v>
      </c>
      <c r="F11" s="26"/>
      <c r="G11" s="26" t="s">
        <v>446</v>
      </c>
      <c r="H11" s="26" t="s">
        <v>447</v>
      </c>
    </row>
    <row r="12" spans="1:8" ht="34" customHeight="1" x14ac:dyDescent="0.2">
      <c r="A12" s="24" t="s">
        <v>54</v>
      </c>
      <c r="B12" s="24" t="s">
        <v>448</v>
      </c>
      <c r="C12" s="24" t="s">
        <v>52</v>
      </c>
      <c r="D12" s="25" t="s">
        <v>398</v>
      </c>
      <c r="E12" s="24" t="s">
        <v>449</v>
      </c>
      <c r="F12" s="24" t="s">
        <v>400</v>
      </c>
      <c r="G12" s="24" t="s">
        <v>450</v>
      </c>
      <c r="H12" s="24" t="s">
        <v>451</v>
      </c>
    </row>
    <row r="13" spans="1:8" ht="34" customHeight="1" x14ac:dyDescent="0.2">
      <c r="A13" s="26" t="s">
        <v>22</v>
      </c>
      <c r="B13" s="26" t="s">
        <v>452</v>
      </c>
      <c r="C13" s="26" t="s">
        <v>453</v>
      </c>
      <c r="D13" s="25" t="s">
        <v>398</v>
      </c>
      <c r="E13" s="26" t="s">
        <v>423</v>
      </c>
      <c r="F13" s="26" t="s">
        <v>400</v>
      </c>
      <c r="G13" s="26" t="s">
        <v>454</v>
      </c>
      <c r="H13" s="26" t="s">
        <v>455</v>
      </c>
    </row>
    <row r="14" spans="1:8" ht="34" customHeight="1" x14ac:dyDescent="0.2">
      <c r="A14" s="24" t="s">
        <v>33</v>
      </c>
      <c r="B14" s="24" t="s">
        <v>456</v>
      </c>
      <c r="C14" s="24" t="s">
        <v>457</v>
      </c>
      <c r="D14" s="25" t="s">
        <v>398</v>
      </c>
      <c r="E14" s="24" t="s">
        <v>458</v>
      </c>
      <c r="F14" s="24" t="s">
        <v>400</v>
      </c>
      <c r="G14" s="24" t="s">
        <v>454</v>
      </c>
      <c r="H14" s="24" t="s">
        <v>459</v>
      </c>
    </row>
    <row r="15" spans="1:8" ht="34" customHeight="1" x14ac:dyDescent="0.2">
      <c r="A15" s="26" t="s">
        <v>35</v>
      </c>
      <c r="B15" s="26" t="s">
        <v>460</v>
      </c>
      <c r="C15" s="26" t="s">
        <v>461</v>
      </c>
      <c r="D15" s="25" t="s">
        <v>398</v>
      </c>
      <c r="E15" s="26" t="s">
        <v>458</v>
      </c>
      <c r="F15" s="26" t="s">
        <v>400</v>
      </c>
      <c r="G15" s="26" t="s">
        <v>454</v>
      </c>
      <c r="H15" s="26" t="s">
        <v>462</v>
      </c>
    </row>
    <row r="16" spans="1:8" ht="34" customHeight="1" x14ac:dyDescent="0.2">
      <c r="A16" s="24" t="s">
        <v>38</v>
      </c>
      <c r="B16" s="24" t="s">
        <v>463</v>
      </c>
      <c r="C16" s="24" t="s">
        <v>464</v>
      </c>
      <c r="D16" s="25" t="s">
        <v>398</v>
      </c>
      <c r="E16" s="24" t="s">
        <v>414</v>
      </c>
      <c r="F16" s="24" t="s">
        <v>400</v>
      </c>
      <c r="G16" s="24" t="s">
        <v>454</v>
      </c>
      <c r="H16" s="24" t="s">
        <v>465</v>
      </c>
    </row>
    <row r="17" spans="1:8" ht="34" customHeight="1" x14ac:dyDescent="0.2">
      <c r="A17" s="26" t="s">
        <v>43</v>
      </c>
      <c r="B17" s="26" t="s">
        <v>466</v>
      </c>
      <c r="C17" s="26" t="s">
        <v>467</v>
      </c>
      <c r="D17" s="25" t="s">
        <v>398</v>
      </c>
      <c r="E17" s="26" t="s">
        <v>468</v>
      </c>
      <c r="F17" s="26" t="s">
        <v>400</v>
      </c>
      <c r="G17" s="26" t="s">
        <v>454</v>
      </c>
      <c r="H17" s="26" t="s">
        <v>469</v>
      </c>
    </row>
    <row r="18" spans="1:8" ht="34" customHeight="1" x14ac:dyDescent="0.2">
      <c r="A18" s="24" t="s">
        <v>51</v>
      </c>
      <c r="B18" s="24" t="s">
        <v>470</v>
      </c>
      <c r="C18" s="24" t="s">
        <v>471</v>
      </c>
      <c r="D18" s="25" t="s">
        <v>398</v>
      </c>
      <c r="E18" s="24" t="s">
        <v>458</v>
      </c>
      <c r="F18" s="24" t="s">
        <v>400</v>
      </c>
      <c r="G18" s="24" t="s">
        <v>454</v>
      </c>
      <c r="H18" s="24" t="s">
        <v>472</v>
      </c>
    </row>
    <row r="19" spans="1:8" ht="34" customHeight="1" x14ac:dyDescent="0.2">
      <c r="A19" s="26" t="s">
        <v>56</v>
      </c>
      <c r="B19" s="26" t="s">
        <v>473</v>
      </c>
      <c r="C19" s="26" t="s">
        <v>474</v>
      </c>
      <c r="D19" s="25" t="s">
        <v>398</v>
      </c>
      <c r="E19" s="26" t="s">
        <v>414</v>
      </c>
      <c r="F19" s="26" t="s">
        <v>400</v>
      </c>
      <c r="G19" s="26" t="s">
        <v>454</v>
      </c>
      <c r="H19" s="26" t="s">
        <v>475</v>
      </c>
    </row>
    <row r="20" spans="1:8" ht="34" customHeight="1" x14ac:dyDescent="0.2">
      <c r="A20" s="24" t="s">
        <v>58</v>
      </c>
      <c r="B20" s="24" t="s">
        <v>476</v>
      </c>
      <c r="C20" s="24" t="s">
        <v>477</v>
      </c>
      <c r="D20" s="83" t="s">
        <v>398</v>
      </c>
      <c r="E20" s="24" t="s">
        <v>478</v>
      </c>
      <c r="F20" s="24" t="s">
        <v>400</v>
      </c>
      <c r="G20" s="24" t="s">
        <v>479</v>
      </c>
      <c r="H20" s="24" t="s">
        <v>480</v>
      </c>
    </row>
    <row r="21" spans="1:8" ht="34" customHeight="1" x14ac:dyDescent="0.2">
      <c r="A21" s="47" t="s">
        <v>61</v>
      </c>
      <c r="B21" s="26" t="s">
        <v>481</v>
      </c>
      <c r="C21" s="26" t="s">
        <v>482</v>
      </c>
      <c r="D21" s="25" t="s">
        <v>398</v>
      </c>
      <c r="E21" s="26" t="s">
        <v>478</v>
      </c>
      <c r="F21" s="26" t="s">
        <v>400</v>
      </c>
      <c r="G21" s="26" t="s">
        <v>483</v>
      </c>
      <c r="H21" s="26" t="s">
        <v>484</v>
      </c>
    </row>
    <row r="22" spans="1:8" ht="34" customHeight="1" x14ac:dyDescent="0.2">
      <c r="A22" s="48" t="s">
        <v>67</v>
      </c>
      <c r="B22" s="24" t="s">
        <v>485</v>
      </c>
      <c r="C22" s="24" t="s">
        <v>486</v>
      </c>
      <c r="D22" s="25" t="s">
        <v>398</v>
      </c>
      <c r="E22" s="24" t="s">
        <v>414</v>
      </c>
      <c r="F22" s="24" t="s">
        <v>400</v>
      </c>
      <c r="G22" s="24" t="s">
        <v>483</v>
      </c>
      <c r="H22" s="24" t="s">
        <v>487</v>
      </c>
    </row>
    <row r="23" spans="1:8" ht="34" customHeight="1" x14ac:dyDescent="0.2">
      <c r="A23" s="47" t="s">
        <v>81</v>
      </c>
      <c r="B23" s="26" t="s">
        <v>488</v>
      </c>
      <c r="C23" s="26" t="s">
        <v>489</v>
      </c>
      <c r="D23" s="25" t="s">
        <v>398</v>
      </c>
      <c r="E23" s="26" t="s">
        <v>478</v>
      </c>
      <c r="F23" s="26" t="s">
        <v>400</v>
      </c>
      <c r="G23" s="26" t="s">
        <v>483</v>
      </c>
      <c r="H23" s="26" t="s">
        <v>490</v>
      </c>
    </row>
    <row r="24" spans="1:8" ht="34" customHeight="1" x14ac:dyDescent="0.2">
      <c r="A24" s="48" t="s">
        <v>90</v>
      </c>
      <c r="B24" s="24" t="s">
        <v>491</v>
      </c>
      <c r="C24" s="24" t="s">
        <v>492</v>
      </c>
      <c r="D24" s="83" t="s">
        <v>398</v>
      </c>
      <c r="E24" s="24" t="s">
        <v>439</v>
      </c>
      <c r="F24" s="24" t="s">
        <v>400</v>
      </c>
      <c r="G24" s="24" t="s">
        <v>493</v>
      </c>
      <c r="H24" s="24" t="s">
        <v>494</v>
      </c>
    </row>
    <row r="25" spans="1:8" ht="34" customHeight="1" x14ac:dyDescent="0.2">
      <c r="A25" s="47" t="s">
        <v>495</v>
      </c>
      <c r="B25" s="26" t="s">
        <v>496</v>
      </c>
      <c r="C25" s="26" t="s">
        <v>497</v>
      </c>
      <c r="D25" s="83" t="s">
        <v>398</v>
      </c>
      <c r="E25" s="26" t="s">
        <v>439</v>
      </c>
      <c r="F25" s="26" t="s">
        <v>400</v>
      </c>
      <c r="G25" s="26" t="s">
        <v>493</v>
      </c>
      <c r="H25" s="26" t="s">
        <v>498</v>
      </c>
    </row>
    <row r="26" spans="1:8" ht="34" customHeight="1" x14ac:dyDescent="0.2">
      <c r="A26" s="24" t="s">
        <v>499</v>
      </c>
      <c r="B26" s="24" t="s">
        <v>500</v>
      </c>
      <c r="C26" s="24" t="s">
        <v>501</v>
      </c>
      <c r="D26" s="28" t="s">
        <v>502</v>
      </c>
      <c r="E26" s="24"/>
      <c r="F26" s="24"/>
      <c r="G26" s="24" t="s">
        <v>503</v>
      </c>
      <c r="H26" s="24" t="s">
        <v>504</v>
      </c>
    </row>
    <row r="27" spans="1:8" ht="34" customHeight="1" x14ac:dyDescent="0.2">
      <c r="A27" s="26" t="s">
        <v>505</v>
      </c>
      <c r="B27" s="26" t="s">
        <v>506</v>
      </c>
      <c r="C27" s="26" t="s">
        <v>507</v>
      </c>
      <c r="D27" s="28" t="s">
        <v>502</v>
      </c>
      <c r="E27" s="26"/>
      <c r="F27" s="26"/>
      <c r="G27" s="26" t="s">
        <v>508</v>
      </c>
      <c r="H27" s="26" t="s">
        <v>509</v>
      </c>
    </row>
    <row r="28" spans="1:8" ht="34" customHeight="1" x14ac:dyDescent="0.2">
      <c r="A28" s="24" t="s">
        <v>510</v>
      </c>
      <c r="B28" s="24" t="s">
        <v>511</v>
      </c>
      <c r="C28" s="24" t="s">
        <v>512</v>
      </c>
      <c r="D28" s="28" t="s">
        <v>502</v>
      </c>
      <c r="E28" s="24"/>
      <c r="F28" s="24"/>
      <c r="G28" s="24" t="s">
        <v>513</v>
      </c>
      <c r="H28" s="24" t="s">
        <v>514</v>
      </c>
    </row>
    <row r="29" spans="1:8" ht="34" customHeight="1" x14ac:dyDescent="0.2">
      <c r="A29" s="26" t="s">
        <v>515</v>
      </c>
      <c r="B29" s="26" t="s">
        <v>516</v>
      </c>
      <c r="C29" s="26" t="s">
        <v>517</v>
      </c>
      <c r="D29" s="28" t="s">
        <v>502</v>
      </c>
      <c r="E29" s="26"/>
      <c r="F29" s="26"/>
      <c r="G29" s="26" t="s">
        <v>518</v>
      </c>
      <c r="H29" s="26" t="s">
        <v>519</v>
      </c>
    </row>
    <row r="30" spans="1:8" ht="34" customHeight="1" x14ac:dyDescent="0.2">
      <c r="A30" s="24" t="s">
        <v>520</v>
      </c>
      <c r="B30" s="24" t="s">
        <v>516</v>
      </c>
      <c r="C30" s="24" t="s">
        <v>517</v>
      </c>
      <c r="D30" s="28" t="s">
        <v>502</v>
      </c>
      <c r="E30" s="24"/>
      <c r="F30" s="24"/>
      <c r="G30" s="24" t="s">
        <v>518</v>
      </c>
      <c r="H30" s="24" t="s">
        <v>521</v>
      </c>
    </row>
    <row r="31" spans="1:8" ht="30" customHeight="1" x14ac:dyDescent="0.2">
      <c r="A31" s="24" t="s">
        <v>522</v>
      </c>
      <c r="B31" s="24" t="s">
        <v>523</v>
      </c>
      <c r="C31" s="24" t="s">
        <v>524</v>
      </c>
      <c r="D31" s="86" t="s">
        <v>444</v>
      </c>
      <c r="E31" s="24" t="s">
        <v>525</v>
      </c>
      <c r="F31" s="24" t="s">
        <v>400</v>
      </c>
      <c r="G31" s="24" t="s">
        <v>526</v>
      </c>
      <c r="H31" s="24" t="s">
        <v>527</v>
      </c>
    </row>
    <row r="32" spans="1:8" ht="30" customHeight="1" x14ac:dyDescent="0.2">
      <c r="A32" s="24" t="s">
        <v>528</v>
      </c>
      <c r="B32" s="24" t="s">
        <v>523</v>
      </c>
      <c r="C32" s="24" t="s">
        <v>529</v>
      </c>
      <c r="D32" s="86" t="s">
        <v>444</v>
      </c>
      <c r="E32" s="24" t="s">
        <v>525</v>
      </c>
      <c r="F32" s="24" t="s">
        <v>400</v>
      </c>
      <c r="G32" s="24" t="s">
        <v>526</v>
      </c>
      <c r="H32" s="24" t="s">
        <v>530</v>
      </c>
    </row>
    <row r="33" spans="1:8" ht="30" customHeight="1" x14ac:dyDescent="0.2">
      <c r="A33" s="24" t="s">
        <v>531</v>
      </c>
      <c r="B33" s="24" t="s">
        <v>523</v>
      </c>
      <c r="C33" s="24" t="s">
        <v>529</v>
      </c>
      <c r="D33" s="86" t="s">
        <v>444</v>
      </c>
      <c r="E33" s="24" t="s">
        <v>525</v>
      </c>
      <c r="F33" s="24" t="s">
        <v>400</v>
      </c>
      <c r="G33" s="24" t="s">
        <v>526</v>
      </c>
      <c r="H33" s="24" t="s">
        <v>532</v>
      </c>
    </row>
    <row r="34" spans="1:8" ht="30" customHeight="1" x14ac:dyDescent="0.2">
      <c r="A34" s="24" t="s">
        <v>533</v>
      </c>
      <c r="B34" s="24" t="s">
        <v>534</v>
      </c>
      <c r="C34" s="24" t="s">
        <v>535</v>
      </c>
      <c r="D34" s="86" t="s">
        <v>444</v>
      </c>
      <c r="E34" s="24" t="s">
        <v>423</v>
      </c>
      <c r="F34" s="24" t="s">
        <v>400</v>
      </c>
      <c r="G34" s="24" t="s">
        <v>536</v>
      </c>
      <c r="H34" s="24" t="s">
        <v>537</v>
      </c>
    </row>
    <row r="35" spans="1:8" ht="30" customHeight="1" x14ac:dyDescent="0.2">
      <c r="A35" s="24" t="s">
        <v>95</v>
      </c>
      <c r="B35" s="24" t="s">
        <v>538</v>
      </c>
      <c r="C35" s="24" t="s">
        <v>539</v>
      </c>
      <c r="D35" s="83" t="s">
        <v>398</v>
      </c>
      <c r="E35" s="24" t="s">
        <v>540</v>
      </c>
      <c r="F35" s="24" t="s">
        <v>400</v>
      </c>
      <c r="G35" s="24" t="s">
        <v>541</v>
      </c>
      <c r="H35" s="24" t="s">
        <v>542</v>
      </c>
    </row>
    <row r="36" spans="1:8" ht="30" customHeight="1" x14ac:dyDescent="0.2">
      <c r="A36" s="24" t="s">
        <v>104</v>
      </c>
      <c r="B36" s="24" t="s">
        <v>543</v>
      </c>
      <c r="C36" s="24" t="s">
        <v>544</v>
      </c>
      <c r="D36" s="27" t="s">
        <v>545</v>
      </c>
      <c r="E36" s="24"/>
      <c r="F36" s="24" t="s">
        <v>540</v>
      </c>
      <c r="G36" s="24" t="s">
        <v>483</v>
      </c>
      <c r="H36" s="24" t="s">
        <v>546</v>
      </c>
    </row>
    <row r="37" spans="1:8" ht="30" customHeight="1" x14ac:dyDescent="0.2">
      <c r="A37" s="24" t="s">
        <v>547</v>
      </c>
      <c r="B37" s="24" t="s">
        <v>548</v>
      </c>
      <c r="C37" s="24" t="s">
        <v>549</v>
      </c>
      <c r="D37" s="83" t="s">
        <v>398</v>
      </c>
      <c r="E37" s="24" t="s">
        <v>550</v>
      </c>
      <c r="F37" s="24" t="s">
        <v>400</v>
      </c>
      <c r="G37" s="24" t="s">
        <v>551</v>
      </c>
      <c r="H37" s="24" t="s">
        <v>552</v>
      </c>
    </row>
    <row r="38" spans="1:8" ht="30" customHeight="1" x14ac:dyDescent="0.2">
      <c r="A38" s="24" t="s">
        <v>114</v>
      </c>
      <c r="B38" s="24" t="s">
        <v>553</v>
      </c>
      <c r="C38" s="24" t="s">
        <v>554</v>
      </c>
      <c r="D38" s="28" t="s">
        <v>555</v>
      </c>
      <c r="E38" s="24"/>
      <c r="F38" s="24" t="s">
        <v>400</v>
      </c>
      <c r="G38" s="24" t="s">
        <v>556</v>
      </c>
      <c r="H38" s="24" t="s">
        <v>557</v>
      </c>
    </row>
    <row r="39" spans="1:8" ht="30" customHeight="1" x14ac:dyDescent="0.2">
      <c r="A39" s="49" t="s">
        <v>122</v>
      </c>
      <c r="B39" s="24" t="s">
        <v>558</v>
      </c>
      <c r="C39" s="24" t="s">
        <v>474</v>
      </c>
      <c r="D39" s="27" t="s">
        <v>545</v>
      </c>
      <c r="E39" s="24"/>
      <c r="F39" s="24" t="s">
        <v>408</v>
      </c>
      <c r="G39" s="24" t="s">
        <v>559</v>
      </c>
      <c r="H39" s="24" t="s">
        <v>560</v>
      </c>
    </row>
    <row r="40" spans="1:8" ht="30" customHeight="1" x14ac:dyDescent="0.2">
      <c r="A40" s="24" t="s">
        <v>127</v>
      </c>
      <c r="B40" s="24" t="s">
        <v>561</v>
      </c>
      <c r="C40" s="24" t="s">
        <v>562</v>
      </c>
      <c r="D40" s="28" t="s">
        <v>502</v>
      </c>
      <c r="E40" s="24"/>
      <c r="F40" s="24" t="s">
        <v>408</v>
      </c>
      <c r="G40" s="24" t="s">
        <v>563</v>
      </c>
      <c r="H40" s="24" t="s">
        <v>564</v>
      </c>
    </row>
    <row r="41" spans="1:8" ht="30" customHeight="1" x14ac:dyDescent="0.2">
      <c r="A41" s="24" t="s">
        <v>133</v>
      </c>
      <c r="B41" s="24" t="s">
        <v>565</v>
      </c>
      <c r="C41" s="24" t="s">
        <v>549</v>
      </c>
      <c r="D41" s="28" t="s">
        <v>502</v>
      </c>
      <c r="E41" s="24"/>
      <c r="F41" s="24" t="s">
        <v>408</v>
      </c>
      <c r="G41" s="24" t="s">
        <v>566</v>
      </c>
      <c r="H41" s="24" t="s">
        <v>567</v>
      </c>
    </row>
    <row r="42" spans="1:8" ht="30" customHeight="1" x14ac:dyDescent="0.2">
      <c r="A42" s="24" t="s">
        <v>139</v>
      </c>
      <c r="B42" s="24" t="s">
        <v>568</v>
      </c>
      <c r="C42" s="24" t="s">
        <v>569</v>
      </c>
      <c r="D42" s="28" t="s">
        <v>502</v>
      </c>
      <c r="E42" s="24"/>
      <c r="F42" s="24" t="s">
        <v>408</v>
      </c>
      <c r="G42" s="24" t="s">
        <v>570</v>
      </c>
      <c r="H42" s="24" t="s">
        <v>571</v>
      </c>
    </row>
    <row r="43" spans="1:8" ht="30" customHeight="1" x14ac:dyDescent="0.2">
      <c r="A43" s="24" t="s">
        <v>145</v>
      </c>
      <c r="B43" s="24" t="s">
        <v>572</v>
      </c>
      <c r="C43" s="24" t="s">
        <v>573</v>
      </c>
      <c r="D43" s="28" t="s">
        <v>502</v>
      </c>
      <c r="E43" s="24"/>
      <c r="F43" s="24" t="s">
        <v>408</v>
      </c>
      <c r="G43" s="24" t="s">
        <v>574</v>
      </c>
      <c r="H43" s="24" t="s">
        <v>575</v>
      </c>
    </row>
    <row r="44" spans="1:8" ht="30" customHeight="1" x14ac:dyDescent="0.2">
      <c r="A44" s="24" t="s">
        <v>151</v>
      </c>
      <c r="B44" s="24" t="s">
        <v>576</v>
      </c>
      <c r="C44" s="24" t="s">
        <v>577</v>
      </c>
      <c r="D44" s="28" t="s">
        <v>502</v>
      </c>
      <c r="E44" s="24"/>
      <c r="F44" s="24" t="s">
        <v>408</v>
      </c>
      <c r="G44" s="24" t="s">
        <v>578</v>
      </c>
      <c r="H44" s="24" t="s">
        <v>579</v>
      </c>
    </row>
    <row r="45" spans="1:8" ht="30" customHeight="1" x14ac:dyDescent="0.2">
      <c r="A45" s="24" t="s">
        <v>157</v>
      </c>
      <c r="B45" s="24" t="s">
        <v>580</v>
      </c>
      <c r="C45" s="24" t="s">
        <v>507</v>
      </c>
      <c r="D45" s="28" t="s">
        <v>502</v>
      </c>
      <c r="E45" s="24"/>
      <c r="F45" s="24" t="s">
        <v>408</v>
      </c>
      <c r="G45" s="24" t="s">
        <v>581</v>
      </c>
      <c r="H45" s="24" t="s">
        <v>582</v>
      </c>
    </row>
    <row r="46" spans="1:8" ht="30" customHeight="1" x14ac:dyDescent="0.2">
      <c r="A46" s="24" t="s">
        <v>163</v>
      </c>
      <c r="B46" s="24" t="s">
        <v>583</v>
      </c>
      <c r="C46" s="24" t="s">
        <v>507</v>
      </c>
      <c r="D46" s="28" t="s">
        <v>502</v>
      </c>
      <c r="E46" s="24"/>
      <c r="F46" s="24" t="s">
        <v>408</v>
      </c>
      <c r="G46" s="24" t="s">
        <v>584</v>
      </c>
      <c r="H46" s="24" t="s">
        <v>585</v>
      </c>
    </row>
    <row r="47" spans="1:8" x14ac:dyDescent="0.2">
      <c r="A47" s="49" t="s">
        <v>76</v>
      </c>
      <c r="B47" t="s">
        <v>496</v>
      </c>
      <c r="C47" t="s">
        <v>586</v>
      </c>
      <c r="D47" s="83" t="s">
        <v>398</v>
      </c>
      <c r="E47" t="s">
        <v>439</v>
      </c>
      <c r="F47" t="s">
        <v>400</v>
      </c>
      <c r="G47" t="s">
        <v>493</v>
      </c>
      <c r="H47" t="s">
        <v>587</v>
      </c>
    </row>
    <row r="48" spans="1:8" x14ac:dyDescent="0.2">
      <c r="A48" s="49" t="s">
        <v>72</v>
      </c>
      <c r="B48" t="s">
        <v>496</v>
      </c>
      <c r="C48" t="s">
        <v>588</v>
      </c>
      <c r="D48" s="83" t="s">
        <v>398</v>
      </c>
      <c r="E48" t="s">
        <v>414</v>
      </c>
      <c r="F48" t="s">
        <v>400</v>
      </c>
      <c r="G48" t="s">
        <v>589</v>
      </c>
      <c r="H48" t="s">
        <v>590</v>
      </c>
    </row>
    <row r="49" spans="1:8" ht="30" customHeight="1" x14ac:dyDescent="0.2">
      <c r="A49" s="84" t="s">
        <v>591</v>
      </c>
      <c r="B49" s="84" t="s">
        <v>592</v>
      </c>
      <c r="C49" s="84" t="s">
        <v>593</v>
      </c>
      <c r="D49" s="83" t="s">
        <v>594</v>
      </c>
      <c r="E49" s="84" t="s">
        <v>595</v>
      </c>
      <c r="F49" s="84" t="s">
        <v>400</v>
      </c>
      <c r="G49" s="84" t="s">
        <v>596</v>
      </c>
      <c r="H49" s="84" t="s">
        <v>597</v>
      </c>
    </row>
    <row r="50" spans="1:8" ht="30" customHeight="1" x14ac:dyDescent="0.2">
      <c r="A50" s="85" t="s">
        <v>598</v>
      </c>
      <c r="B50" s="85" t="s">
        <v>599</v>
      </c>
      <c r="C50" s="85" t="s">
        <v>593</v>
      </c>
      <c r="D50" s="83" t="s">
        <v>594</v>
      </c>
      <c r="E50" s="85" t="s">
        <v>600</v>
      </c>
      <c r="F50" s="85" t="s">
        <v>400</v>
      </c>
      <c r="G50" s="85" t="s">
        <v>596</v>
      </c>
      <c r="H50" s="85" t="s">
        <v>597</v>
      </c>
    </row>
  </sheetData>
  <hyperlinks>
    <hyperlink ref="A21" r:id="rId1" xr:uid="{00000000-0004-0000-0600-000000000000}"/>
    <hyperlink ref="A22" r:id="rId2" xr:uid="{00000000-0004-0000-0600-000001000000}"/>
    <hyperlink ref="A23" r:id="rId3" xr:uid="{00000000-0004-0000-0600-000002000000}"/>
    <hyperlink ref="A24" r:id="rId4" xr:uid="{00000000-0004-0000-0600-000003000000}"/>
    <hyperlink ref="A25" r:id="rId5" xr:uid="{00000000-0004-0000-0600-000004000000}"/>
    <hyperlink ref="A39" r:id="rId6" xr:uid="{00000000-0004-0000-0600-000005000000}"/>
    <hyperlink ref="A47" r:id="rId7" xr:uid="{00000000-0004-0000-0600-000006000000}"/>
    <hyperlink ref="A48" r:id="rId8" xr:uid="{00000000-0004-0000-0600-000007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601</v>
      </c>
    </row>
    <row r="3" spans="2:2" x14ac:dyDescent="0.2">
      <c r="B3" s="2" t="s">
        <v>602</v>
      </c>
    </row>
    <row r="5" spans="2:2" ht="22" customHeight="1" x14ac:dyDescent="0.2">
      <c r="B5" s="4" t="s">
        <v>603</v>
      </c>
    </row>
    <row r="6" spans="2:2" ht="28" customHeight="1" x14ac:dyDescent="0.2">
      <c r="B6" s="14" t="s">
        <v>604</v>
      </c>
    </row>
    <row r="7" spans="2:2" ht="28" customHeight="1" x14ac:dyDescent="0.2">
      <c r="B7" s="14" t="s">
        <v>605</v>
      </c>
    </row>
    <row r="8" spans="2:2" ht="28" customHeight="1" x14ac:dyDescent="0.2">
      <c r="B8" s="14" t="s">
        <v>606</v>
      </c>
    </row>
    <row r="9" spans="2:2" ht="28" customHeight="1" x14ac:dyDescent="0.2">
      <c r="B9" s="14" t="s">
        <v>607</v>
      </c>
    </row>
    <row r="10" spans="2:2" ht="28" customHeight="1" x14ac:dyDescent="0.2">
      <c r="B10" s="14" t="s">
        <v>608</v>
      </c>
    </row>
    <row r="12" spans="2:2" ht="22" customHeight="1" x14ac:dyDescent="0.2">
      <c r="B12" s="4" t="s">
        <v>609</v>
      </c>
    </row>
    <row r="13" spans="2:2" ht="28" customHeight="1" x14ac:dyDescent="0.2">
      <c r="B13" s="14" t="s">
        <v>610</v>
      </c>
    </row>
    <row r="14" spans="2:2" ht="28" customHeight="1" x14ac:dyDescent="0.2">
      <c r="B14" s="14" t="s">
        <v>611</v>
      </c>
    </row>
    <row r="15" spans="2:2" ht="28" customHeight="1" x14ac:dyDescent="0.2">
      <c r="B15" s="14" t="s">
        <v>612</v>
      </c>
    </row>
    <row r="16" spans="2:2" ht="28" customHeight="1" x14ac:dyDescent="0.2">
      <c r="B16" s="14" t="s">
        <v>613</v>
      </c>
    </row>
    <row r="18" spans="2:2" ht="22" customHeight="1" x14ac:dyDescent="0.2">
      <c r="B18" s="4" t="s">
        <v>614</v>
      </c>
    </row>
    <row r="19" spans="2:2" ht="28" customHeight="1" x14ac:dyDescent="0.2">
      <c r="B19" s="14" t="s">
        <v>615</v>
      </c>
    </row>
    <row r="20" spans="2:2" ht="28" customHeight="1" x14ac:dyDescent="0.2">
      <c r="B20" s="14" t="s">
        <v>616</v>
      </c>
    </row>
    <row r="21" spans="2:2" ht="28" customHeight="1" x14ac:dyDescent="0.2">
      <c r="B21" s="14" t="s">
        <v>617</v>
      </c>
    </row>
    <row r="22" spans="2:2" ht="28" customHeight="1" x14ac:dyDescent="0.2">
      <c r="B22" s="14" t="s">
        <v>618</v>
      </c>
    </row>
    <row r="23" spans="2:2" ht="28" customHeight="1" x14ac:dyDescent="0.2">
      <c r="B23" s="14" t="s">
        <v>619</v>
      </c>
    </row>
    <row r="24" spans="2:2" ht="28" customHeight="1" x14ac:dyDescent="0.2">
      <c r="B24" s="14" t="s">
        <v>620</v>
      </c>
    </row>
    <row r="26" spans="2:2" ht="22" customHeight="1" x14ac:dyDescent="0.2">
      <c r="B26" s="4" t="s">
        <v>621</v>
      </c>
    </row>
    <row r="27" spans="2:2" ht="28" customHeight="1" x14ac:dyDescent="0.2">
      <c r="B27" s="14" t="s">
        <v>622</v>
      </c>
    </row>
    <row r="28" spans="2:2" ht="28" customHeight="1" x14ac:dyDescent="0.2">
      <c r="B28" s="14" t="s">
        <v>623</v>
      </c>
    </row>
    <row r="29" spans="2:2" ht="28" customHeight="1" x14ac:dyDescent="0.2">
      <c r="B29" s="14" t="s">
        <v>624</v>
      </c>
    </row>
    <row r="30" spans="2:2" ht="28" customHeight="1" x14ac:dyDescent="0.2">
      <c r="B30" s="14" t="s">
        <v>625</v>
      </c>
    </row>
    <row r="32" spans="2:2" ht="22" customHeight="1" x14ac:dyDescent="0.2">
      <c r="B32" s="4" t="s">
        <v>626</v>
      </c>
    </row>
    <row r="33" spans="2:2" ht="28" customHeight="1" x14ac:dyDescent="0.2">
      <c r="B33" s="14" t="s">
        <v>627</v>
      </c>
    </row>
    <row r="34" spans="2:2" ht="28" customHeight="1" x14ac:dyDescent="0.2">
      <c r="B34" s="14" t="s">
        <v>628</v>
      </c>
    </row>
    <row r="35" spans="2:2" ht="28" customHeight="1" x14ac:dyDescent="0.2">
      <c r="B35" s="14" t="s">
        <v>629</v>
      </c>
    </row>
    <row r="37" spans="2:2" ht="22" customHeight="1" x14ac:dyDescent="0.2">
      <c r="B37" s="4" t="s">
        <v>630</v>
      </c>
    </row>
    <row r="38" spans="2:2" ht="28" customHeight="1" x14ac:dyDescent="0.2">
      <c r="B38" s="14" t="s">
        <v>631</v>
      </c>
    </row>
    <row r="39" spans="2:2" ht="28" customHeight="1" x14ac:dyDescent="0.2">
      <c r="B39" s="14" t="s">
        <v>632</v>
      </c>
    </row>
    <row r="40" spans="2:2" ht="28" customHeight="1" x14ac:dyDescent="0.2">
      <c r="B40" s="14" t="s">
        <v>633</v>
      </c>
    </row>
    <row r="41" spans="2:2" ht="28" customHeight="1" x14ac:dyDescent="0.2">
      <c r="B41" s="14" t="s">
        <v>634</v>
      </c>
    </row>
    <row r="43" spans="2:2" ht="22" customHeight="1" x14ac:dyDescent="0.2">
      <c r="B43" s="4" t="s">
        <v>635</v>
      </c>
    </row>
    <row r="44" spans="2:2" ht="28" customHeight="1" x14ac:dyDescent="0.2">
      <c r="B44" s="14" t="s">
        <v>636</v>
      </c>
    </row>
    <row r="45" spans="2:2" ht="28" customHeight="1" x14ac:dyDescent="0.2">
      <c r="B45" s="14" t="s">
        <v>637</v>
      </c>
    </row>
    <row r="46" spans="2:2" ht="28" customHeight="1" x14ac:dyDescent="0.2">
      <c r="B46" s="14" t="s">
        <v>638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7" t="s">
        <v>639</v>
      </c>
    </row>
    <row r="3" spans="2:2" x14ac:dyDescent="0.2">
      <c r="B3" s="18" t="s">
        <v>640</v>
      </c>
    </row>
    <row r="5" spans="2:2" ht="22" customHeight="1" x14ac:dyDescent="0.2">
      <c r="B5" s="19" t="s">
        <v>641</v>
      </c>
    </row>
    <row r="6" spans="2:2" ht="30" customHeight="1" x14ac:dyDescent="0.2">
      <c r="B6" s="20" t="s">
        <v>642</v>
      </c>
    </row>
    <row r="7" spans="2:2" ht="30" customHeight="1" x14ac:dyDescent="0.2">
      <c r="B7" s="20" t="s">
        <v>643</v>
      </c>
    </row>
    <row r="8" spans="2:2" ht="30" customHeight="1" x14ac:dyDescent="0.2">
      <c r="B8" s="20" t="s">
        <v>644</v>
      </c>
    </row>
    <row r="10" spans="2:2" ht="22" customHeight="1" x14ac:dyDescent="0.2">
      <c r="B10" s="19" t="s">
        <v>645</v>
      </c>
    </row>
    <row r="11" spans="2:2" ht="30" customHeight="1" x14ac:dyDescent="0.2">
      <c r="B11" s="20" t="s">
        <v>646</v>
      </c>
    </row>
    <row r="12" spans="2:2" ht="30" customHeight="1" x14ac:dyDescent="0.2">
      <c r="B12" s="20" t="s">
        <v>647</v>
      </c>
    </row>
    <row r="13" spans="2:2" ht="30" customHeight="1" x14ac:dyDescent="0.2">
      <c r="B13" s="20" t="s">
        <v>648</v>
      </c>
    </row>
    <row r="14" spans="2:2" ht="30" customHeight="1" x14ac:dyDescent="0.2">
      <c r="B14" s="20" t="s">
        <v>649</v>
      </c>
    </row>
    <row r="15" spans="2:2" ht="30" customHeight="1" x14ac:dyDescent="0.2">
      <c r="B15" s="20" t="s">
        <v>650</v>
      </c>
    </row>
    <row r="16" spans="2:2" ht="30" customHeight="1" x14ac:dyDescent="0.2">
      <c r="B16" s="20" t="s">
        <v>651</v>
      </c>
    </row>
    <row r="17" spans="2:2" ht="30" customHeight="1" x14ac:dyDescent="0.2">
      <c r="B17" s="20" t="s">
        <v>652</v>
      </c>
    </row>
    <row r="18" spans="2:2" ht="30" customHeight="1" x14ac:dyDescent="0.2">
      <c r="B18" s="20" t="s">
        <v>653</v>
      </c>
    </row>
    <row r="19" spans="2:2" ht="30" customHeight="1" x14ac:dyDescent="0.2">
      <c r="B19" s="20" t="s">
        <v>654</v>
      </c>
    </row>
    <row r="20" spans="2:2" ht="30" customHeight="1" x14ac:dyDescent="0.2">
      <c r="B20" s="20" t="s">
        <v>655</v>
      </c>
    </row>
    <row r="21" spans="2:2" ht="30" customHeight="1" x14ac:dyDescent="0.2">
      <c r="B21" s="20" t="s">
        <v>656</v>
      </c>
    </row>
    <row r="22" spans="2:2" ht="30" customHeight="1" x14ac:dyDescent="0.2">
      <c r="B22" s="20" t="s">
        <v>657</v>
      </c>
    </row>
    <row r="23" spans="2:2" ht="30" customHeight="1" x14ac:dyDescent="0.2">
      <c r="B23" s="20" t="s">
        <v>658</v>
      </c>
    </row>
    <row r="24" spans="2:2" ht="30" customHeight="1" x14ac:dyDescent="0.2">
      <c r="B24" s="20" t="s">
        <v>659</v>
      </c>
    </row>
    <row r="25" spans="2:2" ht="30" customHeight="1" x14ac:dyDescent="0.2">
      <c r="B25" s="20" t="s">
        <v>660</v>
      </c>
    </row>
    <row r="26" spans="2:2" ht="30" customHeight="1" x14ac:dyDescent="0.2">
      <c r="B26" s="20" t="s">
        <v>661</v>
      </c>
    </row>
    <row r="27" spans="2:2" ht="30" customHeight="1" x14ac:dyDescent="0.2">
      <c r="B27" s="20" t="s">
        <v>662</v>
      </c>
    </row>
    <row r="28" spans="2:2" ht="30" customHeight="1" x14ac:dyDescent="0.2">
      <c r="B28" s="20" t="s">
        <v>663</v>
      </c>
    </row>
    <row r="29" spans="2:2" ht="30" customHeight="1" x14ac:dyDescent="0.2">
      <c r="B29" s="20" t="s">
        <v>664</v>
      </c>
    </row>
    <row r="30" spans="2:2" ht="30" customHeight="1" x14ac:dyDescent="0.2">
      <c r="B30" s="20" t="s">
        <v>665</v>
      </c>
    </row>
    <row r="31" spans="2:2" ht="30" customHeight="1" x14ac:dyDescent="0.2">
      <c r="B31" s="20" t="s">
        <v>666</v>
      </c>
    </row>
    <row r="33" spans="2:2" ht="22" customHeight="1" x14ac:dyDescent="0.2">
      <c r="B33" s="19" t="s">
        <v>667</v>
      </c>
    </row>
    <row r="34" spans="2:2" ht="30" customHeight="1" x14ac:dyDescent="0.2">
      <c r="B34" s="20" t="s">
        <v>668</v>
      </c>
    </row>
    <row r="35" spans="2:2" ht="30" customHeight="1" x14ac:dyDescent="0.2">
      <c r="B35" s="20" t="s">
        <v>669</v>
      </c>
    </row>
    <row r="36" spans="2:2" ht="30" customHeight="1" x14ac:dyDescent="0.2">
      <c r="B36" s="20" t="s">
        <v>670</v>
      </c>
    </row>
    <row r="37" spans="2:2" ht="30" customHeight="1" x14ac:dyDescent="0.2">
      <c r="B37" s="20" t="s">
        <v>671</v>
      </c>
    </row>
    <row r="38" spans="2:2" ht="30" customHeight="1" x14ac:dyDescent="0.2">
      <c r="B38" s="20" t="s">
        <v>672</v>
      </c>
    </row>
    <row r="39" spans="2:2" ht="30" customHeight="1" x14ac:dyDescent="0.2">
      <c r="B39" s="20" t="s">
        <v>673</v>
      </c>
    </row>
    <row r="40" spans="2:2" ht="30" customHeight="1" x14ac:dyDescent="0.2">
      <c r="B40" s="20" t="s">
        <v>674</v>
      </c>
    </row>
    <row r="41" spans="2:2" ht="30" customHeight="1" x14ac:dyDescent="0.2">
      <c r="B41" s="20" t="s">
        <v>675</v>
      </c>
    </row>
    <row r="43" spans="2:2" ht="22" customHeight="1" x14ac:dyDescent="0.2">
      <c r="B43" s="19" t="s">
        <v>676</v>
      </c>
    </row>
    <row r="44" spans="2:2" ht="30" customHeight="1" x14ac:dyDescent="0.2">
      <c r="B44" s="20" t="s">
        <v>677</v>
      </c>
    </row>
    <row r="45" spans="2:2" ht="30" customHeight="1" x14ac:dyDescent="0.2">
      <c r="B45" s="20" t="s">
        <v>678</v>
      </c>
    </row>
    <row r="46" spans="2:2" ht="30" customHeight="1" x14ac:dyDescent="0.2">
      <c r="B46" s="20" t="s">
        <v>679</v>
      </c>
    </row>
    <row r="47" spans="2:2" ht="30" customHeight="1" x14ac:dyDescent="0.2">
      <c r="B47" s="20" t="s">
        <v>680</v>
      </c>
    </row>
    <row r="48" spans="2:2" ht="30" customHeight="1" x14ac:dyDescent="0.2">
      <c r="B48" s="20" t="s">
        <v>681</v>
      </c>
    </row>
    <row r="49" spans="2:2" ht="30" customHeight="1" x14ac:dyDescent="0.2">
      <c r="B49" s="20" t="s">
        <v>682</v>
      </c>
    </row>
    <row r="50" spans="2:2" ht="30" customHeight="1" x14ac:dyDescent="0.2">
      <c r="B50" s="20" t="s">
        <v>683</v>
      </c>
    </row>
    <row r="51" spans="2:2" ht="30" customHeight="1" x14ac:dyDescent="0.2">
      <c r="B51" s="20" t="s">
        <v>684</v>
      </c>
    </row>
    <row r="52" spans="2:2" ht="30" customHeight="1" x14ac:dyDescent="0.2">
      <c r="B52" s="20" t="s">
        <v>685</v>
      </c>
    </row>
    <row r="53" spans="2:2" ht="30" customHeight="1" x14ac:dyDescent="0.2">
      <c r="B53" s="20" t="s">
        <v>686</v>
      </c>
    </row>
    <row r="54" spans="2:2" ht="30" customHeight="1" x14ac:dyDescent="0.2">
      <c r="B54" s="20" t="s">
        <v>687</v>
      </c>
    </row>
    <row r="55" spans="2:2" ht="30" customHeight="1" x14ac:dyDescent="0.2">
      <c r="B55" s="20" t="s">
        <v>688</v>
      </c>
    </row>
    <row r="56" spans="2:2" ht="30" customHeight="1" x14ac:dyDescent="0.2">
      <c r="B56" s="20" t="s">
        <v>689</v>
      </c>
    </row>
    <row r="57" spans="2:2" ht="30" customHeight="1" x14ac:dyDescent="0.2">
      <c r="B57" s="20" t="s">
        <v>690</v>
      </c>
    </row>
    <row r="59" spans="2:2" ht="22" customHeight="1" x14ac:dyDescent="0.2">
      <c r="B59" s="19" t="s">
        <v>691</v>
      </c>
    </row>
    <row r="60" spans="2:2" ht="30" customHeight="1" x14ac:dyDescent="0.2">
      <c r="B60" s="20" t="s">
        <v>692</v>
      </c>
    </row>
    <row r="61" spans="2:2" ht="30" customHeight="1" x14ac:dyDescent="0.2">
      <c r="B61" s="20" t="s">
        <v>693</v>
      </c>
    </row>
    <row r="62" spans="2:2" ht="30" customHeight="1" x14ac:dyDescent="0.2">
      <c r="B62" s="20" t="s">
        <v>694</v>
      </c>
    </row>
    <row r="63" spans="2:2" ht="30" customHeight="1" x14ac:dyDescent="0.2">
      <c r="B63" s="20" t="s">
        <v>695</v>
      </c>
    </row>
    <row r="64" spans="2:2" ht="30" customHeight="1" x14ac:dyDescent="0.2">
      <c r="B64" s="20" t="s">
        <v>696</v>
      </c>
    </row>
    <row r="65" spans="2:2" ht="30" customHeight="1" x14ac:dyDescent="0.2">
      <c r="B65" s="20" t="s">
        <v>697</v>
      </c>
    </row>
    <row r="66" spans="2:2" ht="30" customHeight="1" x14ac:dyDescent="0.2">
      <c r="B66" s="20" t="s">
        <v>698</v>
      </c>
    </row>
    <row r="67" spans="2:2" ht="30" customHeight="1" x14ac:dyDescent="0.2">
      <c r="B67" s="20" t="s">
        <v>699</v>
      </c>
    </row>
    <row r="68" spans="2:2" ht="30" customHeight="1" x14ac:dyDescent="0.2">
      <c r="B68" s="20" t="s">
        <v>700</v>
      </c>
    </row>
    <row r="69" spans="2:2" ht="30" customHeight="1" x14ac:dyDescent="0.2">
      <c r="B69" s="20" t="s">
        <v>701</v>
      </c>
    </row>
    <row r="71" spans="2:2" ht="22" customHeight="1" x14ac:dyDescent="0.2">
      <c r="B71" s="19" t="s">
        <v>702</v>
      </c>
    </row>
    <row r="72" spans="2:2" ht="30" customHeight="1" x14ac:dyDescent="0.2">
      <c r="B72" s="20" t="s">
        <v>703</v>
      </c>
    </row>
    <row r="73" spans="2:2" ht="30" customHeight="1" x14ac:dyDescent="0.2">
      <c r="B73" s="20" t="s">
        <v>704</v>
      </c>
    </row>
    <row r="74" spans="2:2" ht="30" customHeight="1" x14ac:dyDescent="0.2">
      <c r="B74" s="20" t="s">
        <v>705</v>
      </c>
    </row>
    <row r="75" spans="2:2" ht="30" customHeight="1" x14ac:dyDescent="0.2">
      <c r="B75" s="20" t="s">
        <v>706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707</v>
      </c>
    </row>
    <row r="3" spans="2:2" x14ac:dyDescent="0.2">
      <c r="B3" s="2" t="s">
        <v>708</v>
      </c>
    </row>
    <row r="5" spans="2:2" ht="22" customHeight="1" x14ac:dyDescent="0.2">
      <c r="B5" s="4" t="s">
        <v>709</v>
      </c>
    </row>
    <row r="6" spans="2:2" ht="28" customHeight="1" x14ac:dyDescent="0.2">
      <c r="B6" s="14" t="s">
        <v>710</v>
      </c>
    </row>
    <row r="7" spans="2:2" ht="28" customHeight="1" x14ac:dyDescent="0.2">
      <c r="B7" s="14" t="s">
        <v>711</v>
      </c>
    </row>
    <row r="8" spans="2:2" ht="28" customHeight="1" x14ac:dyDescent="0.2">
      <c r="B8" s="14" t="s">
        <v>712</v>
      </c>
    </row>
    <row r="9" spans="2:2" ht="28" customHeight="1" x14ac:dyDescent="0.2">
      <c r="B9" s="14" t="s">
        <v>713</v>
      </c>
    </row>
    <row r="11" spans="2:2" ht="22" customHeight="1" x14ac:dyDescent="0.2">
      <c r="B11" s="4" t="s">
        <v>714</v>
      </c>
    </row>
    <row r="12" spans="2:2" ht="28" customHeight="1" x14ac:dyDescent="0.2">
      <c r="B12" s="14" t="s">
        <v>715</v>
      </c>
    </row>
    <row r="13" spans="2:2" ht="28" customHeight="1" x14ac:dyDescent="0.2">
      <c r="B13" s="14" t="s">
        <v>716</v>
      </c>
    </row>
    <row r="14" spans="2:2" ht="28" customHeight="1" x14ac:dyDescent="0.2">
      <c r="B14" s="14" t="s">
        <v>717</v>
      </c>
    </row>
    <row r="15" spans="2:2" ht="28" customHeight="1" x14ac:dyDescent="0.2">
      <c r="B15" s="14" t="s">
        <v>718</v>
      </c>
    </row>
    <row r="16" spans="2:2" ht="28" customHeight="1" x14ac:dyDescent="0.2">
      <c r="B16" s="14" t="s">
        <v>719</v>
      </c>
    </row>
    <row r="17" spans="2:2" ht="28" customHeight="1" x14ac:dyDescent="0.2">
      <c r="B17" s="14" t="s">
        <v>720</v>
      </c>
    </row>
    <row r="18" spans="2:2" ht="28" customHeight="1" x14ac:dyDescent="0.2">
      <c r="B18" s="14" t="s">
        <v>721</v>
      </c>
    </row>
    <row r="19" spans="2:2" ht="28" customHeight="1" x14ac:dyDescent="0.2">
      <c r="B19" s="14" t="s">
        <v>722</v>
      </c>
    </row>
    <row r="20" spans="2:2" ht="28" customHeight="1" x14ac:dyDescent="0.2">
      <c r="B20" s="14" t="s">
        <v>723</v>
      </c>
    </row>
    <row r="21" spans="2:2" ht="28" customHeight="1" x14ac:dyDescent="0.2">
      <c r="B21" s="14" t="s">
        <v>724</v>
      </c>
    </row>
    <row r="22" spans="2:2" ht="28" customHeight="1" x14ac:dyDescent="0.2">
      <c r="B22" s="14" t="s">
        <v>725</v>
      </c>
    </row>
    <row r="24" spans="2:2" ht="22" customHeight="1" x14ac:dyDescent="0.2">
      <c r="B24" s="4" t="s">
        <v>726</v>
      </c>
    </row>
    <row r="25" spans="2:2" ht="28" customHeight="1" x14ac:dyDescent="0.2">
      <c r="B25" s="14" t="s">
        <v>727</v>
      </c>
    </row>
    <row r="26" spans="2:2" ht="28" customHeight="1" x14ac:dyDescent="0.2">
      <c r="B26" s="14" t="s">
        <v>728</v>
      </c>
    </row>
    <row r="27" spans="2:2" ht="28" customHeight="1" x14ac:dyDescent="0.2">
      <c r="B27" s="14" t="s">
        <v>729</v>
      </c>
    </row>
    <row r="28" spans="2:2" ht="28" customHeight="1" x14ac:dyDescent="0.2">
      <c r="B28" s="14" t="s">
        <v>730</v>
      </c>
    </row>
    <row r="29" spans="2:2" ht="28" customHeight="1" x14ac:dyDescent="0.2">
      <c r="B29" s="14" t="s">
        <v>731</v>
      </c>
    </row>
    <row r="30" spans="2:2" ht="28" customHeight="1" x14ac:dyDescent="0.2">
      <c r="B30" s="14" t="s">
        <v>732</v>
      </c>
    </row>
    <row r="31" spans="2:2" ht="28" customHeight="1" x14ac:dyDescent="0.2">
      <c r="B31" s="14" t="s">
        <v>733</v>
      </c>
    </row>
    <row r="33" spans="2:2" ht="22" customHeight="1" x14ac:dyDescent="0.2">
      <c r="B33" s="4" t="s">
        <v>734</v>
      </c>
    </row>
    <row r="34" spans="2:2" ht="28" customHeight="1" x14ac:dyDescent="0.2">
      <c r="B34" s="14" t="s">
        <v>735</v>
      </c>
    </row>
    <row r="35" spans="2:2" ht="28" customHeight="1" x14ac:dyDescent="0.2">
      <c r="B35" s="14" t="s">
        <v>736</v>
      </c>
    </row>
    <row r="36" spans="2:2" ht="28" customHeight="1" x14ac:dyDescent="0.2">
      <c r="B36" s="14" t="s">
        <v>737</v>
      </c>
    </row>
    <row r="37" spans="2:2" ht="28" customHeight="1" x14ac:dyDescent="0.2">
      <c r="B37" s="14" t="s">
        <v>738</v>
      </c>
    </row>
    <row r="38" spans="2:2" ht="28" customHeight="1" x14ac:dyDescent="0.2">
      <c r="B38" s="14" t="s">
        <v>739</v>
      </c>
    </row>
    <row r="39" spans="2:2" ht="28" customHeight="1" x14ac:dyDescent="0.2">
      <c r="B39" s="14" t="s">
        <v>740</v>
      </c>
    </row>
    <row r="40" spans="2:2" ht="28" customHeight="1" x14ac:dyDescent="0.2">
      <c r="B40" s="14" t="s">
        <v>741</v>
      </c>
    </row>
    <row r="41" spans="2:2" ht="28" customHeight="1" x14ac:dyDescent="0.2">
      <c r="B41" s="14" t="s">
        <v>742</v>
      </c>
    </row>
    <row r="42" spans="2:2" ht="28" customHeight="1" x14ac:dyDescent="0.2">
      <c r="B42" s="14" t="s">
        <v>743</v>
      </c>
    </row>
    <row r="43" spans="2:2" ht="28" customHeight="1" x14ac:dyDescent="0.2">
      <c r="B43" s="14" t="s">
        <v>744</v>
      </c>
    </row>
    <row r="44" spans="2:2" ht="28" customHeight="1" x14ac:dyDescent="0.2">
      <c r="B44" s="14" t="s">
        <v>745</v>
      </c>
    </row>
    <row r="46" spans="2:2" ht="22" customHeight="1" x14ac:dyDescent="0.2">
      <c r="B46" s="4" t="s">
        <v>746</v>
      </c>
    </row>
    <row r="47" spans="2:2" ht="28" customHeight="1" x14ac:dyDescent="0.2">
      <c r="B47" s="14" t="s">
        <v>747</v>
      </c>
    </row>
    <row r="48" spans="2:2" ht="28" customHeight="1" x14ac:dyDescent="0.2">
      <c r="B48" s="14" t="s">
        <v>748</v>
      </c>
    </row>
    <row r="49" spans="2:2" ht="28" customHeight="1" x14ac:dyDescent="0.2">
      <c r="B49" s="14" t="s">
        <v>749</v>
      </c>
    </row>
    <row r="50" spans="2:2" ht="28" customHeight="1" x14ac:dyDescent="0.2">
      <c r="B50" s="14" t="s">
        <v>750</v>
      </c>
    </row>
    <row r="51" spans="2:2" ht="28" customHeight="1" x14ac:dyDescent="0.2">
      <c r="B51" s="14" t="s">
        <v>751</v>
      </c>
    </row>
    <row r="52" spans="2:2" ht="28" customHeight="1" x14ac:dyDescent="0.2">
      <c r="B52" s="14" t="s">
        <v>752</v>
      </c>
    </row>
    <row r="54" spans="2:2" ht="22" customHeight="1" x14ac:dyDescent="0.2">
      <c r="B54" s="4" t="s">
        <v>753</v>
      </c>
    </row>
    <row r="55" spans="2:2" ht="28" customHeight="1" x14ac:dyDescent="0.2">
      <c r="B55" s="14" t="s">
        <v>754</v>
      </c>
    </row>
    <row r="56" spans="2:2" ht="28" customHeight="1" x14ac:dyDescent="0.2">
      <c r="B56" s="14" t="s">
        <v>755</v>
      </c>
    </row>
    <row r="57" spans="2:2" ht="28" customHeight="1" x14ac:dyDescent="0.2">
      <c r="B57" s="14" t="s">
        <v>756</v>
      </c>
    </row>
    <row r="58" spans="2:2" ht="28" customHeight="1" x14ac:dyDescent="0.2">
      <c r="B58" s="14" t="s">
        <v>757</v>
      </c>
    </row>
    <row r="59" spans="2:2" ht="28" customHeight="1" x14ac:dyDescent="0.2">
      <c r="B59" s="14" t="s">
        <v>758</v>
      </c>
    </row>
    <row r="60" spans="2:2" ht="28" customHeight="1" x14ac:dyDescent="0.2">
      <c r="B60" s="14" t="s">
        <v>759</v>
      </c>
    </row>
    <row r="61" spans="2:2" ht="28" customHeight="1" x14ac:dyDescent="0.2">
      <c r="B61" s="14" t="s">
        <v>760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761</v>
      </c>
      <c r="B1" s="11" t="s">
        <v>762</v>
      </c>
      <c r="C1" s="11" t="s">
        <v>763</v>
      </c>
      <c r="D1" s="11" t="s">
        <v>764</v>
      </c>
      <c r="E1" s="11" t="s">
        <v>765</v>
      </c>
      <c r="F1" s="11" t="s">
        <v>14</v>
      </c>
      <c r="G1" s="11" t="s">
        <v>766</v>
      </c>
      <c r="H1" s="11" t="s">
        <v>16</v>
      </c>
    </row>
    <row r="2" spans="1:8" ht="24" customHeight="1" x14ac:dyDescent="0.2">
      <c r="A2" s="12" t="s">
        <v>168</v>
      </c>
      <c r="B2" s="12"/>
      <c r="C2" s="12"/>
      <c r="D2" s="12"/>
      <c r="E2" s="12"/>
      <c r="F2" s="12"/>
      <c r="G2" s="12"/>
      <c r="H2" s="12"/>
    </row>
    <row r="3" spans="1:8" ht="24" customHeight="1" x14ac:dyDescent="0.2">
      <c r="A3" s="9" t="s">
        <v>171</v>
      </c>
      <c r="B3" s="9"/>
      <c r="C3" s="9"/>
      <c r="D3" s="9"/>
      <c r="E3" s="9"/>
      <c r="F3" s="9"/>
      <c r="G3" s="9"/>
      <c r="H3" s="9"/>
    </row>
    <row r="4" spans="1:8" ht="24" customHeight="1" x14ac:dyDescent="0.2">
      <c r="A4" s="12" t="s">
        <v>40</v>
      </c>
      <c r="B4" s="12"/>
      <c r="C4" s="12"/>
      <c r="D4" s="12"/>
      <c r="E4" s="12"/>
      <c r="F4" s="12"/>
      <c r="G4" s="12"/>
      <c r="H4" s="12"/>
    </row>
    <row r="5" spans="1:8" ht="24" customHeight="1" x14ac:dyDescent="0.2">
      <c r="A5" s="9" t="s">
        <v>174</v>
      </c>
      <c r="B5" s="9"/>
      <c r="C5" s="9"/>
      <c r="D5" s="9"/>
      <c r="E5" s="9"/>
      <c r="F5" s="9"/>
      <c r="G5" s="9"/>
      <c r="H5" s="9"/>
    </row>
    <row r="6" spans="1:8" ht="24" customHeight="1" x14ac:dyDescent="0.2">
      <c r="A6" s="12" t="s">
        <v>44</v>
      </c>
      <c r="B6" s="12"/>
      <c r="C6" s="12"/>
      <c r="D6" s="12"/>
      <c r="E6" s="12"/>
      <c r="F6" s="12"/>
      <c r="G6" s="12"/>
      <c r="H6" s="12"/>
    </row>
    <row r="7" spans="1:8" ht="24" customHeight="1" x14ac:dyDescent="0.2">
      <c r="A7" s="9" t="s">
        <v>71</v>
      </c>
      <c r="B7" s="9"/>
      <c r="C7" s="9"/>
      <c r="D7" s="9"/>
      <c r="E7" s="9"/>
      <c r="F7" s="9"/>
      <c r="G7" s="9"/>
      <c r="H7" s="9"/>
    </row>
    <row r="8" spans="1:8" ht="24" customHeight="1" x14ac:dyDescent="0.2">
      <c r="A8" s="12" t="s">
        <v>75</v>
      </c>
      <c r="B8" s="12"/>
      <c r="C8" s="12"/>
      <c r="D8" s="12"/>
      <c r="E8" s="12"/>
      <c r="F8" s="12"/>
      <c r="G8" s="12"/>
      <c r="H8" s="12"/>
    </row>
    <row r="9" spans="1:8" ht="24" customHeight="1" x14ac:dyDescent="0.2">
      <c r="A9" s="9" t="s">
        <v>17</v>
      </c>
      <c r="B9" s="9"/>
      <c r="C9" s="9"/>
      <c r="D9" s="9"/>
      <c r="E9" s="9"/>
      <c r="F9" s="9"/>
      <c r="G9" s="9"/>
      <c r="H9" s="9"/>
    </row>
    <row r="10" spans="1:8" ht="24" customHeight="1" x14ac:dyDescent="0.2">
      <c r="A10" s="12" t="s">
        <v>26</v>
      </c>
      <c r="B10" s="12"/>
      <c r="C10" s="12"/>
      <c r="D10" s="12"/>
      <c r="E10" s="12"/>
      <c r="F10" s="12"/>
      <c r="G10" s="12"/>
      <c r="H10" s="12"/>
    </row>
    <row r="11" spans="1:8" ht="24" customHeight="1" x14ac:dyDescent="0.2">
      <c r="A11" s="9" t="s">
        <v>28</v>
      </c>
      <c r="B11" s="9"/>
      <c r="C11" s="9"/>
      <c r="D11" s="9"/>
      <c r="E11" s="9"/>
      <c r="F11" s="9"/>
      <c r="G11" s="9"/>
      <c r="H11" s="9"/>
    </row>
    <row r="12" spans="1:8" ht="24" customHeight="1" x14ac:dyDescent="0.2">
      <c r="A12" s="12" t="s">
        <v>34</v>
      </c>
      <c r="B12" s="12"/>
      <c r="C12" s="12"/>
      <c r="D12" s="12"/>
      <c r="E12" s="12"/>
      <c r="F12" s="12"/>
      <c r="G12" s="12"/>
      <c r="H12" s="12"/>
    </row>
    <row r="13" spans="1:8" ht="24" customHeight="1" x14ac:dyDescent="0.2">
      <c r="A13" s="9" t="s">
        <v>50</v>
      </c>
      <c r="B13" s="9"/>
      <c r="C13" s="9"/>
      <c r="D13" s="9"/>
      <c r="E13" s="9"/>
      <c r="F13" s="9"/>
      <c r="G13" s="9"/>
      <c r="H13" s="9"/>
    </row>
    <row r="14" spans="1:8" ht="24" customHeight="1" x14ac:dyDescent="0.2">
      <c r="A14" s="12" t="s">
        <v>30</v>
      </c>
      <c r="B14" s="12"/>
      <c r="C14" s="12"/>
      <c r="D14" s="12"/>
      <c r="E14" s="12"/>
      <c r="F14" s="12"/>
      <c r="G14" s="12"/>
      <c r="H14" s="12"/>
    </row>
    <row r="15" spans="1:8" ht="24" customHeight="1" x14ac:dyDescent="0.2">
      <c r="A15" s="9" t="s">
        <v>175</v>
      </c>
      <c r="B15" s="9"/>
      <c r="C15" s="9"/>
      <c r="D15" s="9"/>
      <c r="E15" s="9"/>
      <c r="F15" s="9"/>
      <c r="G15" s="9"/>
      <c r="H15" s="9"/>
    </row>
    <row r="16" spans="1:8" ht="24" customHeight="1" x14ac:dyDescent="0.2">
      <c r="A16" s="12" t="s">
        <v>59</v>
      </c>
      <c r="B16" s="12"/>
      <c r="C16" s="12"/>
      <c r="D16" s="12"/>
      <c r="E16" s="12"/>
      <c r="F16" s="12"/>
      <c r="G16" s="12"/>
      <c r="H16" s="12"/>
    </row>
    <row r="17" spans="1:8" ht="24" customHeight="1" x14ac:dyDescent="0.2">
      <c r="A17" s="9" t="s">
        <v>62</v>
      </c>
      <c r="B17" s="9"/>
      <c r="C17" s="9"/>
      <c r="D17" s="9"/>
      <c r="E17" s="9"/>
      <c r="F17" s="9"/>
      <c r="G17" s="9"/>
      <c r="H17" s="9"/>
    </row>
    <row r="18" spans="1:8" ht="24" customHeight="1" x14ac:dyDescent="0.2">
      <c r="A18" s="12" t="s">
        <v>63</v>
      </c>
      <c r="B18" s="12"/>
      <c r="C18" s="12"/>
      <c r="D18" s="12"/>
      <c r="E18" s="12"/>
      <c r="F18" s="12"/>
      <c r="G18" s="12"/>
      <c r="H18" s="12"/>
    </row>
    <row r="19" spans="1:8" ht="24" customHeight="1" x14ac:dyDescent="0.2">
      <c r="A19" s="9" t="s">
        <v>64</v>
      </c>
      <c r="B19" s="9"/>
      <c r="C19" s="9"/>
      <c r="D19" s="9"/>
      <c r="E19" s="9"/>
      <c r="F19" s="9"/>
      <c r="G19" s="9"/>
      <c r="H19" s="9"/>
    </row>
    <row r="20" spans="1:8" ht="24" customHeight="1" x14ac:dyDescent="0.2">
      <c r="A20" s="12" t="s">
        <v>65</v>
      </c>
      <c r="B20" s="12"/>
      <c r="C20" s="12"/>
      <c r="D20" s="12"/>
      <c r="E20" s="12"/>
      <c r="F20" s="12"/>
      <c r="G20" s="12"/>
      <c r="H20" s="12"/>
    </row>
    <row r="21" spans="1:8" ht="24" customHeight="1" x14ac:dyDescent="0.2">
      <c r="A21" s="9" t="s">
        <v>68</v>
      </c>
      <c r="B21" s="9"/>
      <c r="C21" s="9"/>
      <c r="D21" s="9"/>
      <c r="E21" s="9"/>
      <c r="F21" s="9"/>
      <c r="G21" s="9"/>
      <c r="H21" s="9"/>
    </row>
    <row r="22" spans="1:8" ht="24" customHeight="1" x14ac:dyDescent="0.2">
      <c r="A22" s="12" t="s">
        <v>69</v>
      </c>
      <c r="B22" s="12"/>
      <c r="C22" s="12"/>
      <c r="D22" s="12"/>
      <c r="E22" s="12"/>
      <c r="F22" s="12"/>
      <c r="G22" s="12"/>
      <c r="H22" s="12"/>
    </row>
    <row r="23" spans="1:8" ht="24" customHeight="1" x14ac:dyDescent="0.2">
      <c r="A23" s="9" t="s">
        <v>70</v>
      </c>
      <c r="B23" s="9"/>
      <c r="C23" s="9"/>
      <c r="D23" s="9"/>
      <c r="E23" s="9"/>
      <c r="F23" s="9"/>
      <c r="G23" s="9"/>
      <c r="H23" s="9"/>
    </row>
    <row r="24" spans="1:8" ht="24" customHeight="1" x14ac:dyDescent="0.2">
      <c r="A24" s="12" t="s">
        <v>89</v>
      </c>
      <c r="B24" s="12"/>
      <c r="C24" s="12"/>
      <c r="D24" s="12"/>
      <c r="E24" s="12"/>
      <c r="F24" s="12"/>
      <c r="G24" s="12"/>
      <c r="H24" s="12"/>
    </row>
    <row r="25" spans="1:8" ht="24" customHeight="1" x14ac:dyDescent="0.2">
      <c r="A25" s="9" t="s">
        <v>91</v>
      </c>
      <c r="B25" s="9"/>
      <c r="C25" s="9"/>
      <c r="D25" s="9"/>
      <c r="E25" s="9"/>
      <c r="F25" s="9"/>
      <c r="G25" s="9"/>
      <c r="H25" s="9"/>
    </row>
    <row r="26" spans="1:8" ht="24" customHeight="1" x14ac:dyDescent="0.2">
      <c r="A26" s="12" t="s">
        <v>92</v>
      </c>
      <c r="B26" s="12"/>
      <c r="C26" s="12"/>
      <c r="D26" s="12"/>
      <c r="E26" s="12"/>
      <c r="F26" s="12"/>
      <c r="G26" s="12"/>
      <c r="H26" s="12"/>
    </row>
    <row r="27" spans="1:8" ht="24" customHeight="1" x14ac:dyDescent="0.2">
      <c r="A27" s="9" t="s">
        <v>177</v>
      </c>
      <c r="B27" s="9"/>
      <c r="C27" s="9"/>
      <c r="D27" s="9"/>
      <c r="E27" s="9"/>
      <c r="F27" s="9"/>
      <c r="G27" s="9"/>
      <c r="H27" s="9"/>
    </row>
    <row r="28" spans="1:8" ht="24" customHeight="1" x14ac:dyDescent="0.2">
      <c r="A28" s="12" t="s">
        <v>52</v>
      </c>
      <c r="B28" s="12"/>
      <c r="C28" s="12"/>
      <c r="D28" s="12"/>
      <c r="E28" s="12"/>
      <c r="F28" s="12"/>
      <c r="G28" s="12"/>
      <c r="H28" s="12"/>
    </row>
    <row r="29" spans="1:8" ht="24" customHeight="1" x14ac:dyDescent="0.2">
      <c r="A29" s="9" t="s">
        <v>55</v>
      </c>
      <c r="B29" s="9"/>
      <c r="C29" s="9"/>
      <c r="D29" s="9"/>
      <c r="E29" s="9"/>
      <c r="F29" s="9"/>
      <c r="G29" s="9"/>
      <c r="H29" s="9"/>
    </row>
    <row r="30" spans="1:8" ht="24" customHeight="1" x14ac:dyDescent="0.2">
      <c r="A30" s="12" t="s">
        <v>180</v>
      </c>
      <c r="B30" s="12"/>
      <c r="C30" s="12"/>
      <c r="D30" s="12"/>
      <c r="E30" s="12"/>
      <c r="F30" s="12"/>
      <c r="G30" s="12"/>
      <c r="H30" s="12"/>
    </row>
    <row r="31" spans="1:8" ht="24" customHeight="1" x14ac:dyDescent="0.2">
      <c r="A31" s="9" t="s">
        <v>182</v>
      </c>
      <c r="B31" s="9"/>
      <c r="C31" s="9"/>
      <c r="D31" s="9"/>
      <c r="E31" s="9"/>
      <c r="F31" s="9"/>
      <c r="G31" s="9"/>
      <c r="H31" s="9"/>
    </row>
    <row r="32" spans="1:8" ht="24" customHeight="1" x14ac:dyDescent="0.2">
      <c r="A32" s="12" t="s">
        <v>184</v>
      </c>
      <c r="B32" s="12"/>
      <c r="C32" s="12"/>
      <c r="D32" s="12"/>
      <c r="E32" s="12"/>
      <c r="F32" s="12"/>
      <c r="G32" s="12"/>
      <c r="H32" s="12"/>
    </row>
    <row r="33" spans="1:8" ht="24" customHeight="1" x14ac:dyDescent="0.2">
      <c r="A33" s="9" t="s">
        <v>36</v>
      </c>
      <c r="B33" s="9"/>
      <c r="C33" s="9"/>
      <c r="D33" s="9"/>
      <c r="E33" s="9"/>
      <c r="F33" s="9"/>
      <c r="G33" s="9"/>
      <c r="H33" s="9"/>
    </row>
    <row r="34" spans="1:8" ht="24" customHeight="1" x14ac:dyDescent="0.2">
      <c r="A34" s="12" t="s">
        <v>185</v>
      </c>
      <c r="B34" s="12"/>
      <c r="C34" s="12"/>
      <c r="D34" s="12"/>
      <c r="E34" s="12"/>
      <c r="F34" s="12"/>
      <c r="G34" s="12"/>
      <c r="H34" s="12"/>
    </row>
    <row r="35" spans="1:8" ht="24" customHeight="1" x14ac:dyDescent="0.2">
      <c r="A35" s="9" t="s">
        <v>57</v>
      </c>
      <c r="B35" s="9"/>
      <c r="C35" s="9"/>
      <c r="D35" s="9"/>
      <c r="E35" s="9"/>
      <c r="F35" s="9"/>
      <c r="G35" s="9"/>
      <c r="H35" s="9"/>
    </row>
    <row r="36" spans="1:8" ht="24" customHeight="1" x14ac:dyDescent="0.2">
      <c r="A36" s="12" t="s">
        <v>186</v>
      </c>
      <c r="B36" s="12"/>
      <c r="C36" s="12"/>
      <c r="D36" s="12"/>
      <c r="E36" s="12"/>
      <c r="F36" s="12"/>
      <c r="G36" s="12"/>
      <c r="H36" s="12"/>
    </row>
    <row r="37" spans="1:8" ht="24" customHeight="1" x14ac:dyDescent="0.2">
      <c r="A37" s="9" t="s">
        <v>39</v>
      </c>
      <c r="B37" s="9"/>
      <c r="C37" s="9"/>
      <c r="D37" s="9"/>
      <c r="E37" s="9"/>
      <c r="F37" s="9"/>
      <c r="G37" s="9"/>
      <c r="H37" s="9"/>
    </row>
    <row r="38" spans="1:8" ht="24" customHeight="1" x14ac:dyDescent="0.2">
      <c r="A38" s="12" t="s">
        <v>93</v>
      </c>
      <c r="B38" s="12"/>
      <c r="C38" s="12"/>
      <c r="D38" s="12"/>
      <c r="E38" s="12"/>
      <c r="F38" s="12"/>
      <c r="G38" s="12"/>
      <c r="H38" s="12"/>
    </row>
    <row r="39" spans="1:8" ht="24" customHeight="1" x14ac:dyDescent="0.2">
      <c r="A39" s="9" t="s">
        <v>46</v>
      </c>
      <c r="B39" s="9"/>
      <c r="C39" s="9"/>
      <c r="D39" s="9"/>
      <c r="E39" s="9"/>
      <c r="F39" s="9"/>
      <c r="G39" s="9"/>
      <c r="H39" s="9"/>
    </row>
    <row r="40" spans="1:8" ht="24" customHeight="1" x14ac:dyDescent="0.2">
      <c r="A40" s="12" t="s">
        <v>48</v>
      </c>
      <c r="B40" s="12"/>
      <c r="C40" s="12"/>
      <c r="D40" s="12"/>
      <c r="E40" s="12"/>
      <c r="F40" s="12"/>
      <c r="G40" s="12"/>
      <c r="H40" s="12"/>
    </row>
    <row r="41" spans="1:8" ht="24" customHeight="1" x14ac:dyDescent="0.2">
      <c r="A41" s="9" t="s">
        <v>49</v>
      </c>
      <c r="B41" s="9"/>
      <c r="C41" s="9"/>
      <c r="D41" s="9"/>
      <c r="E41" s="9"/>
      <c r="F41" s="9"/>
      <c r="G41" s="9"/>
      <c r="H41" s="9"/>
    </row>
    <row r="42" spans="1:8" ht="24" customHeight="1" x14ac:dyDescent="0.2">
      <c r="A42" s="12" t="s">
        <v>188</v>
      </c>
      <c r="B42" s="12"/>
      <c r="C42" s="12"/>
      <c r="D42" s="12"/>
      <c r="E42" s="12"/>
      <c r="F42" s="12"/>
      <c r="G42" s="12"/>
      <c r="H42" s="12"/>
    </row>
    <row r="43" spans="1:8" ht="24" customHeight="1" x14ac:dyDescent="0.2">
      <c r="A43" s="9" t="s">
        <v>78</v>
      </c>
      <c r="B43" s="9"/>
      <c r="C43" s="9"/>
      <c r="D43" s="9"/>
      <c r="E43" s="9"/>
      <c r="F43" s="9"/>
      <c r="G43" s="9"/>
      <c r="H43" s="9"/>
    </row>
    <row r="44" spans="1:8" ht="24" customHeight="1" x14ac:dyDescent="0.2">
      <c r="A44" s="12" t="s">
        <v>83</v>
      </c>
      <c r="B44" s="12"/>
      <c r="C44" s="12"/>
      <c r="D44" s="12"/>
      <c r="E44" s="12"/>
      <c r="F44" s="12"/>
      <c r="G44" s="12"/>
      <c r="H44" s="12"/>
    </row>
    <row r="45" spans="1:8" ht="24" customHeight="1" x14ac:dyDescent="0.2">
      <c r="A45" s="9" t="s">
        <v>85</v>
      </c>
      <c r="B45" s="9"/>
      <c r="C45" s="9"/>
      <c r="D45" s="9"/>
      <c r="E45" s="9"/>
      <c r="F45" s="9"/>
      <c r="G45" s="9"/>
      <c r="H45" s="9"/>
    </row>
    <row r="46" spans="1:8" ht="24" customHeight="1" x14ac:dyDescent="0.2">
      <c r="A46" s="12" t="s">
        <v>86</v>
      </c>
      <c r="B46" s="12"/>
      <c r="C46" s="12"/>
      <c r="D46" s="12"/>
      <c r="E46" s="12"/>
      <c r="F46" s="12"/>
      <c r="G46" s="12"/>
      <c r="H46" s="12"/>
    </row>
    <row r="47" spans="1:8" ht="24" customHeight="1" x14ac:dyDescent="0.2">
      <c r="A47" s="9" t="s">
        <v>189</v>
      </c>
      <c r="B47" s="9"/>
      <c r="C47" s="9"/>
      <c r="D47" s="9"/>
      <c r="E47" s="9"/>
      <c r="F47" s="9"/>
      <c r="G47" s="9"/>
      <c r="H47" s="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1" t="s">
        <v>767</v>
      </c>
      <c r="B1" s="21" t="s">
        <v>768</v>
      </c>
    </row>
    <row r="2" spans="1:2" ht="16" customHeight="1" x14ac:dyDescent="0.2">
      <c r="A2" s="22" t="s">
        <v>398</v>
      </c>
      <c r="B2" s="22" t="s">
        <v>769</v>
      </c>
    </row>
    <row r="3" spans="1:2" ht="16" customHeight="1" x14ac:dyDescent="0.2">
      <c r="A3" s="22" t="s">
        <v>545</v>
      </c>
      <c r="B3" s="22" t="s">
        <v>770</v>
      </c>
    </row>
    <row r="4" spans="1:2" ht="16" customHeight="1" x14ac:dyDescent="0.2">
      <c r="A4" s="22" t="s">
        <v>771</v>
      </c>
      <c r="B4" s="22" t="s">
        <v>772</v>
      </c>
    </row>
    <row r="5" spans="1:2" ht="16" customHeight="1" x14ac:dyDescent="0.2">
      <c r="A5" s="22" t="s">
        <v>773</v>
      </c>
      <c r="B5" s="22" t="s">
        <v>774</v>
      </c>
    </row>
    <row r="6" spans="1:2" ht="16" customHeight="1" x14ac:dyDescent="0.2">
      <c r="A6" s="22" t="s">
        <v>775</v>
      </c>
      <c r="B6" s="22" t="s">
        <v>776</v>
      </c>
    </row>
    <row r="7" spans="1:2" ht="16" customHeight="1" x14ac:dyDescent="0.2">
      <c r="A7" s="22" t="s">
        <v>502</v>
      </c>
      <c r="B7" s="22" t="s">
        <v>777</v>
      </c>
    </row>
    <row r="8" spans="1:2" ht="16" customHeight="1" x14ac:dyDescent="0.2">
      <c r="A8" s="22" t="s">
        <v>778</v>
      </c>
      <c r="B8" s="22" t="s">
        <v>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KPI Dashboard</vt:lpstr>
      <vt:lpstr>Cluster KPIs</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2026-08-10T00:20:41Z</dcterms:modified>
</cp:coreProperties>
</file>